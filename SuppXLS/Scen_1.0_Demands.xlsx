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git\esma\OTAI\SuppXLS\"/>
    </mc:Choice>
  </mc:AlternateContent>
  <xr:revisionPtr revIDLastSave="0" documentId="13_ncr:1_{9550552C-9427-441B-887C-04715112A637}" xr6:coauthVersionLast="47" xr6:coauthVersionMax="47" xr10:uidLastSave="{00000000-0000-0000-0000-000000000000}"/>
  <bookViews>
    <workbookView xWindow="-68925" yWindow="1560" windowWidth="18165" windowHeight="17910" xr2:uid="{00000000-000D-0000-FFFF-FFFF00000000}"/>
  </bookViews>
  <sheets>
    <sheet name="ELC_D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9" i="1"/>
  <c r="E20" i="1"/>
  <c r="E21" i="1"/>
  <c r="E22" i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16" i="1"/>
  <c r="E15" i="1"/>
  <c r="E14" i="1"/>
  <c r="D17" i="1"/>
  <c r="D15" i="1"/>
  <c r="D16" i="1"/>
  <c r="D14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M5" i="1"/>
  <c r="L5" i="1"/>
  <c r="H13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I13" i="1"/>
  <c r="J13" i="1"/>
  <c r="I6" i="1"/>
  <c r="J6" i="1"/>
  <c r="H6" i="1"/>
  <c r="D18" i="1" l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</calcChain>
</file>

<file path=xl/sharedStrings.xml><?xml version="1.0" encoding="utf-8"?>
<sst xmlns="http://schemas.openxmlformats.org/spreadsheetml/2006/main" count="217" uniqueCount="30">
  <si>
    <t>Attribute</t>
  </si>
  <si>
    <t>CommName</t>
  </si>
  <si>
    <t>Year</t>
  </si>
  <si>
    <t>Demand Commodity Name</t>
  </si>
  <si>
    <t>PJ</t>
  </si>
  <si>
    <t>COM_PROJ</t>
  </si>
  <si>
    <t>DEMELC</t>
  </si>
  <si>
    <t>\I:</t>
  </si>
  <si>
    <t>\I:Units</t>
  </si>
  <si>
    <t>~TFM_INS</t>
  </si>
  <si>
    <t>IE</t>
  </si>
  <si>
    <t>Ireland</t>
  </si>
  <si>
    <t>NI</t>
  </si>
  <si>
    <t>Northern Ireland</t>
  </si>
  <si>
    <t>TER</t>
  </si>
  <si>
    <t>TWh</t>
  </si>
  <si>
    <t>Eirgird GCS 2024</t>
  </si>
  <si>
    <t>Public</t>
  </si>
  <si>
    <t>https://cms.eirgrid.ie/sites/default/files/publications/19035-EirGrid-Generation-Capacity-Statement-Combined-2023-V5-Jan-2024.pdf#page=124.15</t>
  </si>
  <si>
    <t>https://cms.eirgrid.ie/sites/default/files/publications/19035-EirGrid-Generation-Capacity-Statement-Combined-2023-V5-Jan-2024.pdf#page=124.16</t>
  </si>
  <si>
    <t>https://cms.eirgrid.ie/sites/default/files/publications/19035-EirGrid-Generation-Capacity-Statement-Combined-2023-V5-Jan-2024.pdf#page=124.17</t>
  </si>
  <si>
    <t>https://cms.eirgrid.ie/sites/default/files/publications/19035-EirGrid-Generation-Capacity-Statement-Combined-2023-V5-Jan-2024.pdf#page=124.18</t>
  </si>
  <si>
    <t>https://cms.eirgrid.ie/sites/default/files/publications/19035-EirGrid-Generation-Capacity-Statement-Combined-2023-V5-Jan-2024.pdf#page=124.19</t>
  </si>
  <si>
    <t>https://cms.eirgrid.ie/sites/default/files/publications/19035-EirGrid-Generation-Capacity-Statement-Combined-2023-V5-Jan-2024.pdf#page=124.20</t>
  </si>
  <si>
    <t>https://cms.eirgrid.ie/sites/default/files/publications/19035-EirGrid-Generation-Capacity-Statement-Combined-2023-V5-Jan-2024.pdf#page=124.21</t>
  </si>
  <si>
    <t>https://cms.eirgrid.ie/sites/default/files/publications/19035-EirGrid-Generation-Capacity-Statement-Combined-2023-V5-Jan-2024.pdf#page=124.22</t>
  </si>
  <si>
    <t>https://cms.eirgrid.ie/sites/default/files/publications/19035-EirGrid-Generation-Capacity-Statement-Combined-2023-V5-Jan-2024.pdf#page=124.23</t>
  </si>
  <si>
    <t>until 2035</t>
  </si>
  <si>
    <t>after 2035</t>
  </si>
  <si>
    <t>Growth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</si>
</sst>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4" x14ac:knownFonts="1">
    <font>
      <sz val="11"/>
      <color theme="1"/>
      <name val="Calibri"/>
      <family val="2"/>
      <scheme val="minor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3" borderId="0" xfId="0" applyFill="1"/>
    <xf numFmtId="165" fontId="1" fillId="0" borderId="0" xfId="0" applyNumberFormat="1" applyFont="1"/>
    <xf numFmtId="0" fontId="2" fillId="4" borderId="0" xfId="0" applyFont="1" applyFill="1"/>
    <xf numFmtId="0" fontId="3" fillId="5" borderId="0" xfId="0" applyFont="1" applyFill="1"/>
    <xf numFmtId="0" fontId="3" fillId="2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1:U81"/>
  <sheetViews>
    <sheetView tabSelected="1" workbookViewId="0">
      <selection activeCell="A3" sqref="A3:E3"/>
    </sheetView>
  </sheetViews>
  <sheetFormatPr defaultRowHeight="15" x14ac:dyDescent="0.25"/>
  <cols>
    <col min="1" max="1" width="10.7109375" bestFit="1" customWidth="1"/>
    <col min="2" max="2" width="22" bestFit="1" customWidth="1"/>
    <col min="3" max="3" width="5" bestFit="1" customWidth="1"/>
    <col min="4" max="4" width="7" bestFit="1" customWidth="1"/>
    <col min="5" max="5" width="14.28515625" bestFit="1" customWidth="1"/>
    <col min="7" max="7" width="9.7109375" bestFit="1" customWidth="1"/>
    <col min="8" max="8" width="12.85546875" bestFit="1" customWidth="1"/>
    <col min="9" max="9" width="12" bestFit="1" customWidth="1"/>
    <col min="10" max="10" width="12.7109375" bestFit="1" customWidth="1"/>
    <col min="11" max="11" width="6" bestFit="1" customWidth="1"/>
    <col min="12" max="13" width="7" bestFit="1" customWidth="1"/>
    <col min="14" max="14" width="4.140625" bestFit="1" customWidth="1"/>
    <col min="15" max="16" width="5" bestFit="1" customWidth="1"/>
    <col min="17" max="18" width="6" bestFit="1" customWidth="1"/>
    <col min="19" max="19" width="15.140625" bestFit="1" customWidth="1"/>
    <col min="20" max="20" width="6.42578125" bestFit="1" customWidth="1"/>
    <col min="21" max="21" width="135.7109375" bestFit="1" customWidth="1"/>
  </cols>
  <sheetData>
    <row r="1" spans="1:21" ht="15.75" x14ac:dyDescent="0.25">
      <c r="A1" s="3" t="s">
        <v>9</v>
      </c>
      <c r="B1" s="3"/>
      <c r="C1" s="3"/>
      <c r="D1" s="3"/>
      <c r="E1" s="3"/>
      <c r="H1" t="s">
        <v>29</v>
      </c>
    </row>
    <row r="2" spans="1:21" x14ac:dyDescent="0.25">
      <c r="A2" s="4" t="s">
        <v>0</v>
      </c>
      <c r="B2" s="4" t="s">
        <v>1</v>
      </c>
      <c r="C2" s="4" t="s">
        <v>2</v>
      </c>
      <c r="D2" s="4" t="s">
        <v>10</v>
      </c>
      <c r="E2" s="4" t="s">
        <v>12</v>
      </c>
      <c r="H2" s="7" t="s">
        <v>10</v>
      </c>
      <c r="I2" s="7" t="s">
        <v>12</v>
      </c>
    </row>
    <row r="3" spans="1:21" x14ac:dyDescent="0.25">
      <c r="A3" s="5" t="s">
        <v>7</v>
      </c>
      <c r="B3" s="5" t="s">
        <v>3</v>
      </c>
      <c r="C3" s="5"/>
      <c r="D3" s="5" t="s">
        <v>11</v>
      </c>
      <c r="E3" s="5" t="s">
        <v>13</v>
      </c>
      <c r="G3" t="s">
        <v>27</v>
      </c>
      <c r="H3">
        <v>0.05</v>
      </c>
      <c r="I3">
        <v>2.5000000000000001E-2</v>
      </c>
    </row>
    <row r="4" spans="1:21" x14ac:dyDescent="0.25">
      <c r="A4" s="6" t="s">
        <v>8</v>
      </c>
      <c r="B4" s="6"/>
      <c r="C4" s="6"/>
      <c r="D4" s="6" t="s">
        <v>4</v>
      </c>
      <c r="E4" s="6" t="s">
        <v>4</v>
      </c>
      <c r="G4" t="s">
        <v>28</v>
      </c>
      <c r="H4">
        <v>0.02</v>
      </c>
      <c r="I4">
        <v>0.02</v>
      </c>
    </row>
    <row r="5" spans="1:21" x14ac:dyDescent="0.25">
      <c r="A5" t="s">
        <v>5</v>
      </c>
      <c r="B5" t="s">
        <v>6</v>
      </c>
      <c r="C5">
        <v>2024</v>
      </c>
      <c r="D5">
        <v>131.4</v>
      </c>
      <c r="E5">
        <v>31.031999999999996</v>
      </c>
      <c r="L5">
        <f>P5*3.6</f>
        <v>131.4</v>
      </c>
      <c r="M5">
        <f>Q5*3.6</f>
        <v>31.031999999999996</v>
      </c>
      <c r="N5" t="s">
        <v>14</v>
      </c>
      <c r="O5" t="s">
        <v>15</v>
      </c>
      <c r="P5">
        <v>36.5</v>
      </c>
      <c r="Q5">
        <v>8.6199999999999992</v>
      </c>
      <c r="R5">
        <v>45.12</v>
      </c>
      <c r="S5" t="s">
        <v>16</v>
      </c>
      <c r="T5" t="s">
        <v>17</v>
      </c>
      <c r="U5" t="s">
        <v>18</v>
      </c>
    </row>
    <row r="6" spans="1:21" x14ac:dyDescent="0.25">
      <c r="A6" t="s">
        <v>5</v>
      </c>
      <c r="B6" t="s">
        <v>6</v>
      </c>
      <c r="C6">
        <v>2025</v>
      </c>
      <c r="D6">
        <v>136.80000000000001</v>
      </c>
      <c r="E6">
        <v>31.968000000000004</v>
      </c>
      <c r="H6" s="2">
        <f t="shared" ref="H6:J13" si="0">(P6/P5)-1</f>
        <v>4.1095890410958846E-2</v>
      </c>
      <c r="I6" s="2">
        <f t="shared" si="0"/>
        <v>3.0162412993039567E-2</v>
      </c>
      <c r="J6" s="2">
        <f t="shared" si="0"/>
        <v>3.9007092198581672E-2</v>
      </c>
      <c r="L6">
        <f t="shared" ref="L6:L13" si="1">P6*3.6</f>
        <v>136.80000000000001</v>
      </c>
      <c r="M6">
        <f t="shared" ref="M6:M13" si="2">Q6*3.6</f>
        <v>31.968000000000004</v>
      </c>
      <c r="N6" t="s">
        <v>14</v>
      </c>
      <c r="O6" t="s">
        <v>15</v>
      </c>
      <c r="P6">
        <v>38</v>
      </c>
      <c r="Q6">
        <v>8.8800000000000008</v>
      </c>
      <c r="R6">
        <v>46.88</v>
      </c>
      <c r="S6" t="s">
        <v>16</v>
      </c>
      <c r="T6" t="s">
        <v>17</v>
      </c>
      <c r="U6" t="s">
        <v>19</v>
      </c>
    </row>
    <row r="7" spans="1:21" x14ac:dyDescent="0.25">
      <c r="A7" t="s">
        <v>5</v>
      </c>
      <c r="B7" t="s">
        <v>6</v>
      </c>
      <c r="C7">
        <v>2026</v>
      </c>
      <c r="D7">
        <v>142.56</v>
      </c>
      <c r="E7">
        <v>32.975999999999999</v>
      </c>
      <c r="H7" s="2">
        <f t="shared" si="0"/>
        <v>4.2105263157894868E-2</v>
      </c>
      <c r="I7" s="2">
        <f t="shared" si="0"/>
        <v>3.1531531531531432E-2</v>
      </c>
      <c r="J7" s="2">
        <f t="shared" si="0"/>
        <v>4.0102389078498391E-2</v>
      </c>
      <c r="L7">
        <f t="shared" si="1"/>
        <v>142.56</v>
      </c>
      <c r="M7">
        <f t="shared" si="2"/>
        <v>32.975999999999999</v>
      </c>
      <c r="N7" t="s">
        <v>14</v>
      </c>
      <c r="O7" t="s">
        <v>15</v>
      </c>
      <c r="P7">
        <v>39.6</v>
      </c>
      <c r="Q7">
        <v>9.16</v>
      </c>
      <c r="R7">
        <v>48.760000000000005</v>
      </c>
      <c r="S7" t="s">
        <v>16</v>
      </c>
      <c r="T7" t="s">
        <v>17</v>
      </c>
      <c r="U7" t="s">
        <v>20</v>
      </c>
    </row>
    <row r="8" spans="1:21" x14ac:dyDescent="0.25">
      <c r="A8" t="s">
        <v>5</v>
      </c>
      <c r="B8" t="s">
        <v>6</v>
      </c>
      <c r="C8">
        <v>2027</v>
      </c>
      <c r="D8">
        <v>147.6</v>
      </c>
      <c r="E8">
        <v>34.776000000000003</v>
      </c>
      <c r="H8" s="2">
        <f t="shared" si="0"/>
        <v>3.5353535353535248E-2</v>
      </c>
      <c r="I8" s="2">
        <f t="shared" si="0"/>
        <v>5.4585152838428019E-2</v>
      </c>
      <c r="J8" s="2">
        <f t="shared" si="0"/>
        <v>3.8966365873666753E-2</v>
      </c>
      <c r="L8">
        <f t="shared" si="1"/>
        <v>147.6</v>
      </c>
      <c r="M8">
        <f t="shared" si="2"/>
        <v>34.776000000000003</v>
      </c>
      <c r="N8" t="s">
        <v>14</v>
      </c>
      <c r="O8" t="s">
        <v>15</v>
      </c>
      <c r="P8">
        <v>41</v>
      </c>
      <c r="Q8">
        <v>9.66</v>
      </c>
      <c r="R8">
        <v>50.66</v>
      </c>
      <c r="S8" t="s">
        <v>16</v>
      </c>
      <c r="T8" t="s">
        <v>17</v>
      </c>
      <c r="U8" t="s">
        <v>21</v>
      </c>
    </row>
    <row r="9" spans="1:21" x14ac:dyDescent="0.25">
      <c r="A9" t="s">
        <v>5</v>
      </c>
      <c r="B9" t="s">
        <v>6</v>
      </c>
      <c r="C9">
        <v>2028</v>
      </c>
      <c r="D9">
        <v>152.28</v>
      </c>
      <c r="E9">
        <v>35.28</v>
      </c>
      <c r="H9" s="2">
        <f t="shared" si="0"/>
        <v>3.170731707317076E-2</v>
      </c>
      <c r="I9" s="2">
        <f t="shared" si="0"/>
        <v>1.449275362318847E-2</v>
      </c>
      <c r="J9" s="2">
        <f t="shared" si="0"/>
        <v>2.8424792735886273E-2</v>
      </c>
      <c r="L9">
        <f t="shared" si="1"/>
        <v>152.28</v>
      </c>
      <c r="M9">
        <f t="shared" si="2"/>
        <v>35.28</v>
      </c>
      <c r="N9" t="s">
        <v>14</v>
      </c>
      <c r="O9" t="s">
        <v>15</v>
      </c>
      <c r="P9">
        <v>42.3</v>
      </c>
      <c r="Q9">
        <v>9.8000000000000007</v>
      </c>
      <c r="R9">
        <v>52.099999999999994</v>
      </c>
      <c r="S9" t="s">
        <v>16</v>
      </c>
      <c r="T9" t="s">
        <v>17</v>
      </c>
      <c r="U9" t="s">
        <v>22</v>
      </c>
    </row>
    <row r="10" spans="1:21" x14ac:dyDescent="0.25">
      <c r="A10" t="s">
        <v>5</v>
      </c>
      <c r="B10" t="s">
        <v>6</v>
      </c>
      <c r="C10">
        <v>2029</v>
      </c>
      <c r="D10">
        <v>156.6</v>
      </c>
      <c r="E10">
        <v>35.928000000000004</v>
      </c>
      <c r="H10" s="2">
        <f t="shared" si="0"/>
        <v>2.8368794326241176E-2</v>
      </c>
      <c r="I10" s="2">
        <f t="shared" si="0"/>
        <v>1.8367346938775508E-2</v>
      </c>
      <c r="J10" s="2">
        <f t="shared" si="0"/>
        <v>2.648752399232257E-2</v>
      </c>
      <c r="L10">
        <f t="shared" si="1"/>
        <v>156.6</v>
      </c>
      <c r="M10">
        <f t="shared" si="2"/>
        <v>35.928000000000004</v>
      </c>
      <c r="N10" t="s">
        <v>14</v>
      </c>
      <c r="O10" t="s">
        <v>15</v>
      </c>
      <c r="P10">
        <v>43.5</v>
      </c>
      <c r="Q10">
        <v>9.98</v>
      </c>
      <c r="R10">
        <v>53.480000000000004</v>
      </c>
      <c r="S10" t="s">
        <v>16</v>
      </c>
      <c r="T10" t="s">
        <v>17</v>
      </c>
      <c r="U10" t="s">
        <v>23</v>
      </c>
    </row>
    <row r="11" spans="1:21" x14ac:dyDescent="0.25">
      <c r="A11" t="s">
        <v>5</v>
      </c>
      <c r="B11" t="s">
        <v>6</v>
      </c>
      <c r="C11">
        <v>2030</v>
      </c>
      <c r="D11">
        <v>160.92000000000002</v>
      </c>
      <c r="E11">
        <v>36.612000000000002</v>
      </c>
      <c r="H11" s="2">
        <f t="shared" si="0"/>
        <v>2.7586206896551779E-2</v>
      </c>
      <c r="I11" s="2">
        <f t="shared" si="0"/>
        <v>1.9038076152304573E-2</v>
      </c>
      <c r="J11" s="2">
        <f t="shared" si="0"/>
        <v>2.599102468212422E-2</v>
      </c>
      <c r="L11">
        <f t="shared" si="1"/>
        <v>160.92000000000002</v>
      </c>
      <c r="M11">
        <f t="shared" si="2"/>
        <v>36.612000000000002</v>
      </c>
      <c r="N11" t="s">
        <v>14</v>
      </c>
      <c r="O11" t="s">
        <v>15</v>
      </c>
      <c r="P11">
        <v>44.7</v>
      </c>
      <c r="Q11">
        <v>10.17</v>
      </c>
      <c r="R11">
        <v>54.870000000000005</v>
      </c>
      <c r="S11" t="s">
        <v>16</v>
      </c>
      <c r="T11" t="s">
        <v>17</v>
      </c>
      <c r="U11" t="s">
        <v>24</v>
      </c>
    </row>
    <row r="12" spans="1:21" x14ac:dyDescent="0.25">
      <c r="A12" t="s">
        <v>5</v>
      </c>
      <c r="B12" t="s">
        <v>6</v>
      </c>
      <c r="C12">
        <v>2031</v>
      </c>
      <c r="D12">
        <v>166.32000000000002</v>
      </c>
      <c r="E12">
        <v>37.548000000000002</v>
      </c>
      <c r="H12" s="2">
        <f t="shared" si="0"/>
        <v>3.3557046979865834E-2</v>
      </c>
      <c r="I12" s="2">
        <f t="shared" si="0"/>
        <v>2.5565388397246869E-2</v>
      </c>
      <c r="J12" s="2">
        <f t="shared" si="0"/>
        <v>0.5788226717696372</v>
      </c>
      <c r="L12">
        <f t="shared" si="1"/>
        <v>166.32000000000002</v>
      </c>
      <c r="M12">
        <f t="shared" si="2"/>
        <v>37.548000000000002</v>
      </c>
      <c r="N12" t="s">
        <v>14</v>
      </c>
      <c r="O12" t="s">
        <v>15</v>
      </c>
      <c r="P12">
        <v>46.2</v>
      </c>
      <c r="Q12">
        <v>10.43</v>
      </c>
      <c r="R12">
        <v>86.63</v>
      </c>
      <c r="S12" t="s">
        <v>16</v>
      </c>
      <c r="T12" t="s">
        <v>17</v>
      </c>
      <c r="U12" t="s">
        <v>25</v>
      </c>
    </row>
    <row r="13" spans="1:21" x14ac:dyDescent="0.25">
      <c r="A13" t="s">
        <v>5</v>
      </c>
      <c r="B13" t="s">
        <v>6</v>
      </c>
      <c r="C13">
        <v>2032</v>
      </c>
      <c r="D13">
        <v>171.36</v>
      </c>
      <c r="E13">
        <v>38.628</v>
      </c>
      <c r="H13" s="2">
        <f t="shared" si="0"/>
        <v>3.0303030303030276E-2</v>
      </c>
      <c r="I13" s="2">
        <f t="shared" si="0"/>
        <v>2.8763183125599223E-2</v>
      </c>
      <c r="J13" s="2">
        <f t="shared" si="0"/>
        <v>-0.32667667089922658</v>
      </c>
      <c r="L13">
        <f t="shared" si="1"/>
        <v>171.36</v>
      </c>
      <c r="M13">
        <f t="shared" si="2"/>
        <v>38.628</v>
      </c>
      <c r="N13" t="s">
        <v>14</v>
      </c>
      <c r="O13" t="s">
        <v>15</v>
      </c>
      <c r="P13">
        <v>47.6</v>
      </c>
      <c r="Q13">
        <v>10.73</v>
      </c>
      <c r="R13">
        <v>58.33</v>
      </c>
      <c r="S13" t="s">
        <v>16</v>
      </c>
      <c r="T13" t="s">
        <v>17</v>
      </c>
      <c r="U13" t="s">
        <v>26</v>
      </c>
    </row>
    <row r="14" spans="1:21" x14ac:dyDescent="0.25">
      <c r="A14" t="s">
        <v>5</v>
      </c>
      <c r="B14" t="s">
        <v>6</v>
      </c>
      <c r="C14">
        <v>2033</v>
      </c>
      <c r="D14" s="1">
        <f>D13*(1+$H$3)</f>
        <v>179.92800000000003</v>
      </c>
      <c r="E14" s="1">
        <f>E13*(1+I$3)</f>
        <v>39.593699999999998</v>
      </c>
    </row>
    <row r="15" spans="1:21" x14ac:dyDescent="0.25">
      <c r="A15" t="s">
        <v>5</v>
      </c>
      <c r="B15" t="s">
        <v>6</v>
      </c>
      <c r="C15">
        <v>2034</v>
      </c>
      <c r="D15" s="1">
        <f t="shared" ref="D15:D78" si="3">D14*(1+$H$3)</f>
        <v>188.92440000000005</v>
      </c>
      <c r="E15" s="1">
        <f t="shared" ref="E15" si="4">E14*(1+I$3)</f>
        <v>40.583542499999993</v>
      </c>
    </row>
    <row r="16" spans="1:21" x14ac:dyDescent="0.25">
      <c r="A16" t="s">
        <v>5</v>
      </c>
      <c r="B16" t="s">
        <v>6</v>
      </c>
      <c r="C16">
        <v>2035</v>
      </c>
      <c r="D16" s="1">
        <f t="shared" si="3"/>
        <v>198.37062000000006</v>
      </c>
      <c r="E16" s="1">
        <f>E15*(1+I$4)</f>
        <v>41.395213349999992</v>
      </c>
    </row>
    <row r="17" spans="1:5" x14ac:dyDescent="0.25">
      <c r="A17" t="s">
        <v>5</v>
      </c>
      <c r="B17" t="s">
        <v>6</v>
      </c>
      <c r="C17">
        <v>2036</v>
      </c>
      <c r="D17" s="1">
        <f>D16*(1+$H$4)</f>
        <v>202.33803240000006</v>
      </c>
      <c r="E17" s="1">
        <f t="shared" ref="E17:E80" si="5">E16*(1+I$4)</f>
        <v>42.223117616999993</v>
      </c>
    </row>
    <row r="18" spans="1:5" x14ac:dyDescent="0.25">
      <c r="A18" t="s">
        <v>5</v>
      </c>
      <c r="B18" t="s">
        <v>6</v>
      </c>
      <c r="C18">
        <v>2037</v>
      </c>
      <c r="D18" s="1">
        <f t="shared" si="3"/>
        <v>212.45493402000008</v>
      </c>
      <c r="E18" s="1">
        <f t="shared" si="5"/>
        <v>43.067579969339995</v>
      </c>
    </row>
    <row r="19" spans="1:5" x14ac:dyDescent="0.25">
      <c r="A19" t="s">
        <v>5</v>
      </c>
      <c r="B19" t="s">
        <v>6</v>
      </c>
      <c r="C19">
        <v>2038</v>
      </c>
      <c r="D19" s="1">
        <f t="shared" si="3"/>
        <v>223.07768072100009</v>
      </c>
      <c r="E19" s="1">
        <f t="shared" si="5"/>
        <v>43.928931568726796</v>
      </c>
    </row>
    <row r="20" spans="1:5" x14ac:dyDescent="0.25">
      <c r="A20" t="s">
        <v>5</v>
      </c>
      <c r="B20" t="s">
        <v>6</v>
      </c>
      <c r="C20">
        <v>2039</v>
      </c>
      <c r="D20" s="1">
        <f t="shared" si="3"/>
        <v>234.23156475705011</v>
      </c>
      <c r="E20" s="1">
        <f t="shared" si="5"/>
        <v>44.807510200101333</v>
      </c>
    </row>
    <row r="21" spans="1:5" x14ac:dyDescent="0.25">
      <c r="A21" t="s">
        <v>5</v>
      </c>
      <c r="B21" t="s">
        <v>6</v>
      </c>
      <c r="C21">
        <v>2040</v>
      </c>
      <c r="D21" s="1">
        <f t="shared" si="3"/>
        <v>245.94314299490262</v>
      </c>
      <c r="E21" s="1">
        <f t="shared" si="5"/>
        <v>45.70366040410336</v>
      </c>
    </row>
    <row r="22" spans="1:5" x14ac:dyDescent="0.25">
      <c r="A22" t="s">
        <v>5</v>
      </c>
      <c r="B22" t="s">
        <v>6</v>
      </c>
      <c r="C22">
        <v>2041</v>
      </c>
      <c r="D22" s="1">
        <f t="shared" si="3"/>
        <v>258.24030014464773</v>
      </c>
      <c r="E22" s="1">
        <f t="shared" si="5"/>
        <v>46.617733612185425</v>
      </c>
    </row>
    <row r="23" spans="1:5" x14ac:dyDescent="0.25">
      <c r="A23" t="s">
        <v>5</v>
      </c>
      <c r="B23" t="s">
        <v>6</v>
      </c>
      <c r="C23">
        <v>2042</v>
      </c>
      <c r="D23" s="1">
        <f t="shared" si="3"/>
        <v>271.15231515188015</v>
      </c>
      <c r="E23" s="1">
        <f t="shared" si="5"/>
        <v>47.550088284429137</v>
      </c>
    </row>
    <row r="24" spans="1:5" x14ac:dyDescent="0.25">
      <c r="A24" t="s">
        <v>5</v>
      </c>
      <c r="B24" t="s">
        <v>6</v>
      </c>
      <c r="C24">
        <v>2043</v>
      </c>
      <c r="D24" s="1">
        <f t="shared" si="3"/>
        <v>284.70993090947417</v>
      </c>
      <c r="E24" s="1">
        <f t="shared" si="5"/>
        <v>48.501090050117718</v>
      </c>
    </row>
    <row r="25" spans="1:5" x14ac:dyDescent="0.25">
      <c r="A25" t="s">
        <v>5</v>
      </c>
      <c r="B25" t="s">
        <v>6</v>
      </c>
      <c r="C25">
        <v>2044</v>
      </c>
      <c r="D25" s="1">
        <f t="shared" si="3"/>
        <v>298.94542745494789</v>
      </c>
      <c r="E25" s="1">
        <f t="shared" si="5"/>
        <v>49.471111851120071</v>
      </c>
    </row>
    <row r="26" spans="1:5" x14ac:dyDescent="0.25">
      <c r="A26" t="s">
        <v>5</v>
      </c>
      <c r="B26" t="s">
        <v>6</v>
      </c>
      <c r="C26">
        <v>2045</v>
      </c>
      <c r="D26" s="1">
        <f t="shared" si="3"/>
        <v>313.89269882769531</v>
      </c>
      <c r="E26" s="1">
        <f t="shared" si="5"/>
        <v>50.460534088142474</v>
      </c>
    </row>
    <row r="27" spans="1:5" x14ac:dyDescent="0.25">
      <c r="A27" t="s">
        <v>5</v>
      </c>
      <c r="B27" t="s">
        <v>6</v>
      </c>
      <c r="C27">
        <v>2046</v>
      </c>
      <c r="D27" s="1">
        <f t="shared" si="3"/>
        <v>329.58733376908009</v>
      </c>
      <c r="E27" s="1">
        <f t="shared" si="5"/>
        <v>51.469744769905326</v>
      </c>
    </row>
    <row r="28" spans="1:5" x14ac:dyDescent="0.25">
      <c r="A28" t="s">
        <v>5</v>
      </c>
      <c r="B28" t="s">
        <v>6</v>
      </c>
      <c r="C28">
        <v>2047</v>
      </c>
      <c r="D28" s="1">
        <f t="shared" si="3"/>
        <v>346.06670045753413</v>
      </c>
      <c r="E28" s="1">
        <f t="shared" si="5"/>
        <v>52.499139665303431</v>
      </c>
    </row>
    <row r="29" spans="1:5" x14ac:dyDescent="0.25">
      <c r="A29" t="s">
        <v>5</v>
      </c>
      <c r="B29" t="s">
        <v>6</v>
      </c>
      <c r="C29">
        <v>2048</v>
      </c>
      <c r="D29" s="1">
        <f t="shared" si="3"/>
        <v>363.37003548041082</v>
      </c>
      <c r="E29" s="1">
        <f t="shared" si="5"/>
        <v>53.549122458609503</v>
      </c>
    </row>
    <row r="30" spans="1:5" x14ac:dyDescent="0.25">
      <c r="A30" t="s">
        <v>5</v>
      </c>
      <c r="B30" t="s">
        <v>6</v>
      </c>
      <c r="C30">
        <v>2049</v>
      </c>
      <c r="D30" s="1">
        <f t="shared" si="3"/>
        <v>381.53853725443139</v>
      </c>
      <c r="E30" s="1">
        <f t="shared" si="5"/>
        <v>54.620104907781695</v>
      </c>
    </row>
    <row r="31" spans="1:5" x14ac:dyDescent="0.25">
      <c r="A31" t="s">
        <v>5</v>
      </c>
      <c r="B31" t="s">
        <v>6</v>
      </c>
      <c r="C31">
        <v>2050</v>
      </c>
      <c r="D31" s="1">
        <f t="shared" si="3"/>
        <v>400.61546411715295</v>
      </c>
      <c r="E31" s="1">
        <f t="shared" si="5"/>
        <v>55.712507005937333</v>
      </c>
    </row>
    <row r="32" spans="1:5" x14ac:dyDescent="0.25">
      <c r="A32" t="s">
        <v>5</v>
      </c>
      <c r="B32" t="s">
        <v>6</v>
      </c>
      <c r="C32">
        <v>2051</v>
      </c>
      <c r="D32" s="1">
        <f t="shared" si="3"/>
        <v>420.64623732301061</v>
      </c>
      <c r="E32" s="1">
        <f t="shared" si="5"/>
        <v>56.826757146056082</v>
      </c>
    </row>
    <row r="33" spans="1:5" x14ac:dyDescent="0.25">
      <c r="A33" t="s">
        <v>5</v>
      </c>
      <c r="B33" t="s">
        <v>6</v>
      </c>
      <c r="C33">
        <v>2052</v>
      </c>
      <c r="D33" s="1">
        <f t="shared" si="3"/>
        <v>441.67854918916117</v>
      </c>
      <c r="E33" s="1">
        <f t="shared" si="5"/>
        <v>57.963292288977208</v>
      </c>
    </row>
    <row r="34" spans="1:5" x14ac:dyDescent="0.25">
      <c r="A34" t="s">
        <v>5</v>
      </c>
      <c r="B34" t="s">
        <v>6</v>
      </c>
      <c r="C34">
        <v>2053</v>
      </c>
      <c r="D34" s="1">
        <f t="shared" si="3"/>
        <v>463.76247664861927</v>
      </c>
      <c r="E34" s="1">
        <f t="shared" si="5"/>
        <v>59.122558134756751</v>
      </c>
    </row>
    <row r="35" spans="1:5" x14ac:dyDescent="0.25">
      <c r="A35" t="s">
        <v>5</v>
      </c>
      <c r="B35" t="s">
        <v>6</v>
      </c>
      <c r="C35">
        <v>2054</v>
      </c>
      <c r="D35" s="1">
        <f t="shared" si="3"/>
        <v>486.95060048105023</v>
      </c>
      <c r="E35" s="1">
        <f t="shared" si="5"/>
        <v>60.305009297451889</v>
      </c>
    </row>
    <row r="36" spans="1:5" x14ac:dyDescent="0.25">
      <c r="A36" t="s">
        <v>5</v>
      </c>
      <c r="B36" t="s">
        <v>6</v>
      </c>
      <c r="C36">
        <v>2055</v>
      </c>
      <c r="D36" s="1">
        <f t="shared" si="3"/>
        <v>511.29813050510279</v>
      </c>
      <c r="E36" s="1">
        <f t="shared" si="5"/>
        <v>61.511109483400929</v>
      </c>
    </row>
    <row r="37" spans="1:5" x14ac:dyDescent="0.25">
      <c r="A37" t="s">
        <v>5</v>
      </c>
      <c r="B37" t="s">
        <v>6</v>
      </c>
      <c r="C37">
        <v>2056</v>
      </c>
      <c r="D37" s="1">
        <f t="shared" si="3"/>
        <v>536.86303703035799</v>
      </c>
      <c r="E37" s="1">
        <f t="shared" si="5"/>
        <v>62.741331673068949</v>
      </c>
    </row>
    <row r="38" spans="1:5" x14ac:dyDescent="0.25">
      <c r="A38" t="s">
        <v>5</v>
      </c>
      <c r="B38" t="s">
        <v>6</v>
      </c>
      <c r="C38">
        <v>2057</v>
      </c>
      <c r="D38" s="1">
        <f t="shared" si="3"/>
        <v>563.70618888187596</v>
      </c>
      <c r="E38" s="1">
        <f t="shared" si="5"/>
        <v>63.996158306530326</v>
      </c>
    </row>
    <row r="39" spans="1:5" x14ac:dyDescent="0.25">
      <c r="A39" t="s">
        <v>5</v>
      </c>
      <c r="B39" t="s">
        <v>6</v>
      </c>
      <c r="C39">
        <v>2058</v>
      </c>
      <c r="D39" s="1">
        <f t="shared" si="3"/>
        <v>591.89149832596979</v>
      </c>
      <c r="E39" s="1">
        <f t="shared" si="5"/>
        <v>65.276081472660934</v>
      </c>
    </row>
    <row r="40" spans="1:5" x14ac:dyDescent="0.25">
      <c r="A40" t="s">
        <v>5</v>
      </c>
      <c r="B40" t="s">
        <v>6</v>
      </c>
      <c r="C40">
        <v>2059</v>
      </c>
      <c r="D40" s="1">
        <f t="shared" si="3"/>
        <v>621.48607324226828</v>
      </c>
      <c r="E40" s="1">
        <f t="shared" si="5"/>
        <v>66.581603102114158</v>
      </c>
    </row>
    <row r="41" spans="1:5" x14ac:dyDescent="0.25">
      <c r="A41" t="s">
        <v>5</v>
      </c>
      <c r="B41" t="s">
        <v>6</v>
      </c>
      <c r="C41">
        <v>2060</v>
      </c>
      <c r="D41" s="1">
        <f t="shared" si="3"/>
        <v>652.56037690438177</v>
      </c>
      <c r="E41" s="1">
        <f t="shared" si="5"/>
        <v>67.913235164156447</v>
      </c>
    </row>
    <row r="42" spans="1:5" x14ac:dyDescent="0.25">
      <c r="A42" t="s">
        <v>5</v>
      </c>
      <c r="B42" t="s">
        <v>6</v>
      </c>
      <c r="C42">
        <v>2061</v>
      </c>
      <c r="D42" s="1">
        <f t="shared" si="3"/>
        <v>685.18839574960089</v>
      </c>
      <c r="E42" s="1">
        <f t="shared" si="5"/>
        <v>69.271499867439573</v>
      </c>
    </row>
    <row r="43" spans="1:5" x14ac:dyDescent="0.25">
      <c r="A43" t="s">
        <v>5</v>
      </c>
      <c r="B43" t="s">
        <v>6</v>
      </c>
      <c r="C43">
        <v>2062</v>
      </c>
      <c r="D43" s="1">
        <f t="shared" si="3"/>
        <v>719.44781553708094</v>
      </c>
      <c r="E43" s="1">
        <f t="shared" si="5"/>
        <v>70.656929864788367</v>
      </c>
    </row>
    <row r="44" spans="1:5" x14ac:dyDescent="0.25">
      <c r="A44" t="s">
        <v>5</v>
      </c>
      <c r="B44" t="s">
        <v>6</v>
      </c>
      <c r="C44">
        <v>2063</v>
      </c>
      <c r="D44" s="1">
        <f t="shared" si="3"/>
        <v>755.42020631393507</v>
      </c>
      <c r="E44" s="1">
        <f t="shared" si="5"/>
        <v>72.070068462084137</v>
      </c>
    </row>
    <row r="45" spans="1:5" x14ac:dyDescent="0.25">
      <c r="A45" t="s">
        <v>5</v>
      </c>
      <c r="B45" t="s">
        <v>6</v>
      </c>
      <c r="C45">
        <v>2064</v>
      </c>
      <c r="D45" s="1">
        <f t="shared" si="3"/>
        <v>793.19121662963187</v>
      </c>
      <c r="E45" s="1">
        <f t="shared" si="5"/>
        <v>73.511469831325826</v>
      </c>
    </row>
    <row r="46" spans="1:5" x14ac:dyDescent="0.25">
      <c r="A46" t="s">
        <v>5</v>
      </c>
      <c r="B46" t="s">
        <v>6</v>
      </c>
      <c r="C46">
        <v>2065</v>
      </c>
      <c r="D46" s="1">
        <f t="shared" si="3"/>
        <v>832.85077746111347</v>
      </c>
      <c r="E46" s="1">
        <f t="shared" si="5"/>
        <v>74.981699227952348</v>
      </c>
    </row>
    <row r="47" spans="1:5" x14ac:dyDescent="0.25">
      <c r="A47" t="s">
        <v>5</v>
      </c>
      <c r="B47" t="s">
        <v>6</v>
      </c>
      <c r="C47">
        <v>2066</v>
      </c>
      <c r="D47" s="1">
        <f t="shared" si="3"/>
        <v>874.49331633416921</v>
      </c>
      <c r="E47" s="1">
        <f t="shared" si="5"/>
        <v>76.481333212511402</v>
      </c>
    </row>
    <row r="48" spans="1:5" x14ac:dyDescent="0.25">
      <c r="A48" t="s">
        <v>5</v>
      </c>
      <c r="B48" t="s">
        <v>6</v>
      </c>
      <c r="C48">
        <v>2067</v>
      </c>
      <c r="D48" s="1">
        <f t="shared" si="3"/>
        <v>918.21798215087767</v>
      </c>
      <c r="E48" s="1">
        <f t="shared" si="5"/>
        <v>78.010959876761632</v>
      </c>
    </row>
    <row r="49" spans="1:5" x14ac:dyDescent="0.25">
      <c r="A49" t="s">
        <v>5</v>
      </c>
      <c r="B49" t="s">
        <v>6</v>
      </c>
      <c r="C49">
        <v>2068</v>
      </c>
      <c r="D49" s="1">
        <f t="shared" si="3"/>
        <v>964.12888125842164</v>
      </c>
      <c r="E49" s="1">
        <f t="shared" si="5"/>
        <v>79.571179074296865</v>
      </c>
    </row>
    <row r="50" spans="1:5" x14ac:dyDescent="0.25">
      <c r="A50" t="s">
        <v>5</v>
      </c>
      <c r="B50" t="s">
        <v>6</v>
      </c>
      <c r="C50">
        <v>2069</v>
      </c>
      <c r="D50" s="1">
        <f t="shared" si="3"/>
        <v>1012.3353253213428</v>
      </c>
      <c r="E50" s="1">
        <f t="shared" si="5"/>
        <v>81.162602655782806</v>
      </c>
    </row>
    <row r="51" spans="1:5" x14ac:dyDescent="0.25">
      <c r="A51" t="s">
        <v>5</v>
      </c>
      <c r="B51" t="s">
        <v>6</v>
      </c>
      <c r="C51">
        <v>2070</v>
      </c>
      <c r="D51" s="1">
        <f t="shared" si="3"/>
        <v>1062.95209158741</v>
      </c>
      <c r="E51" s="1">
        <f t="shared" si="5"/>
        <v>82.785854708898469</v>
      </c>
    </row>
    <row r="52" spans="1:5" x14ac:dyDescent="0.25">
      <c r="A52" t="s">
        <v>5</v>
      </c>
      <c r="B52" t="s">
        <v>6</v>
      </c>
      <c r="C52">
        <v>2071</v>
      </c>
      <c r="D52" s="1">
        <f t="shared" si="3"/>
        <v>1116.0996961667806</v>
      </c>
      <c r="E52" s="1">
        <f t="shared" si="5"/>
        <v>84.441571803076442</v>
      </c>
    </row>
    <row r="53" spans="1:5" x14ac:dyDescent="0.25">
      <c r="A53" t="s">
        <v>5</v>
      </c>
      <c r="B53" t="s">
        <v>6</v>
      </c>
      <c r="C53">
        <v>2072</v>
      </c>
      <c r="D53" s="1">
        <f t="shared" si="3"/>
        <v>1171.9046809751196</v>
      </c>
      <c r="E53" s="1">
        <f t="shared" si="5"/>
        <v>86.130403239137976</v>
      </c>
    </row>
    <row r="54" spans="1:5" x14ac:dyDescent="0.25">
      <c r="A54" t="s">
        <v>5</v>
      </c>
      <c r="B54" t="s">
        <v>6</v>
      </c>
      <c r="C54">
        <v>2073</v>
      </c>
      <c r="D54" s="1">
        <f t="shared" si="3"/>
        <v>1230.4999150238757</v>
      </c>
      <c r="E54" s="1">
        <f t="shared" si="5"/>
        <v>87.853011303920738</v>
      </c>
    </row>
    <row r="55" spans="1:5" x14ac:dyDescent="0.25">
      <c r="A55" t="s">
        <v>5</v>
      </c>
      <c r="B55" t="s">
        <v>6</v>
      </c>
      <c r="C55">
        <v>2074</v>
      </c>
      <c r="D55" s="1">
        <f t="shared" si="3"/>
        <v>1292.0249107750694</v>
      </c>
      <c r="E55" s="1">
        <f t="shared" si="5"/>
        <v>89.610071529999161</v>
      </c>
    </row>
    <row r="56" spans="1:5" x14ac:dyDescent="0.25">
      <c r="A56" t="s">
        <v>5</v>
      </c>
      <c r="B56" t="s">
        <v>6</v>
      </c>
      <c r="C56">
        <v>2075</v>
      </c>
      <c r="D56" s="1">
        <f t="shared" si="3"/>
        <v>1356.626156313823</v>
      </c>
      <c r="E56" s="1">
        <f t="shared" si="5"/>
        <v>91.402272960599149</v>
      </c>
    </row>
    <row r="57" spans="1:5" x14ac:dyDescent="0.25">
      <c r="A57" t="s">
        <v>5</v>
      </c>
      <c r="B57" t="s">
        <v>6</v>
      </c>
      <c r="C57">
        <v>2076</v>
      </c>
      <c r="D57" s="1">
        <f t="shared" si="3"/>
        <v>1424.4574641295142</v>
      </c>
      <c r="E57" s="1">
        <f t="shared" si="5"/>
        <v>93.230318419811127</v>
      </c>
    </row>
    <row r="58" spans="1:5" x14ac:dyDescent="0.25">
      <c r="A58" t="s">
        <v>5</v>
      </c>
      <c r="B58" t="s">
        <v>6</v>
      </c>
      <c r="C58">
        <v>2077</v>
      </c>
      <c r="D58" s="1">
        <f t="shared" si="3"/>
        <v>1495.6803373359899</v>
      </c>
      <c r="E58" s="1">
        <f t="shared" si="5"/>
        <v>95.094924788207351</v>
      </c>
    </row>
    <row r="59" spans="1:5" x14ac:dyDescent="0.25">
      <c r="A59" t="s">
        <v>5</v>
      </c>
      <c r="B59" t="s">
        <v>6</v>
      </c>
      <c r="C59">
        <v>2078</v>
      </c>
      <c r="D59" s="1">
        <f t="shared" si="3"/>
        <v>1570.4643542027893</v>
      </c>
      <c r="E59" s="1">
        <f t="shared" si="5"/>
        <v>96.996823283971494</v>
      </c>
    </row>
    <row r="60" spans="1:5" x14ac:dyDescent="0.25">
      <c r="A60" t="s">
        <v>5</v>
      </c>
      <c r="B60" t="s">
        <v>6</v>
      </c>
      <c r="C60">
        <v>2079</v>
      </c>
      <c r="D60" s="1">
        <f t="shared" si="3"/>
        <v>1648.9875719129288</v>
      </c>
      <c r="E60" s="1">
        <f t="shared" si="5"/>
        <v>98.936759749650932</v>
      </c>
    </row>
    <row r="61" spans="1:5" x14ac:dyDescent="0.25">
      <c r="A61" t="s">
        <v>5</v>
      </c>
      <c r="B61" t="s">
        <v>6</v>
      </c>
      <c r="C61">
        <v>2080</v>
      </c>
      <c r="D61" s="1">
        <f t="shared" si="3"/>
        <v>1731.4369505085754</v>
      </c>
      <c r="E61" s="1">
        <f t="shared" si="5"/>
        <v>100.91549494464395</v>
      </c>
    </row>
    <row r="62" spans="1:5" x14ac:dyDescent="0.25">
      <c r="A62" t="s">
        <v>5</v>
      </c>
      <c r="B62" t="s">
        <v>6</v>
      </c>
      <c r="C62">
        <v>2081</v>
      </c>
      <c r="D62" s="1">
        <f t="shared" si="3"/>
        <v>1818.0087980340043</v>
      </c>
      <c r="E62" s="1">
        <f t="shared" si="5"/>
        <v>102.93380484353683</v>
      </c>
    </row>
    <row r="63" spans="1:5" x14ac:dyDescent="0.25">
      <c r="A63" t="s">
        <v>5</v>
      </c>
      <c r="B63" t="s">
        <v>6</v>
      </c>
      <c r="C63">
        <v>2082</v>
      </c>
      <c r="D63" s="1">
        <f t="shared" si="3"/>
        <v>1908.9092379357046</v>
      </c>
      <c r="E63" s="1">
        <f t="shared" si="5"/>
        <v>104.99248094040757</v>
      </c>
    </row>
    <row r="64" spans="1:5" x14ac:dyDescent="0.25">
      <c r="A64" t="s">
        <v>5</v>
      </c>
      <c r="B64" t="s">
        <v>6</v>
      </c>
      <c r="C64">
        <v>2083</v>
      </c>
      <c r="D64" s="1">
        <f t="shared" si="3"/>
        <v>2004.3546998324898</v>
      </c>
      <c r="E64" s="1">
        <f t="shared" si="5"/>
        <v>107.09233055921572</v>
      </c>
    </row>
    <row r="65" spans="1:5" x14ac:dyDescent="0.25">
      <c r="A65" t="s">
        <v>5</v>
      </c>
      <c r="B65" t="s">
        <v>6</v>
      </c>
      <c r="C65">
        <v>2084</v>
      </c>
      <c r="D65" s="1">
        <f t="shared" si="3"/>
        <v>2104.5724348241142</v>
      </c>
      <c r="E65" s="1">
        <f t="shared" si="5"/>
        <v>109.23417717040005</v>
      </c>
    </row>
    <row r="66" spans="1:5" x14ac:dyDescent="0.25">
      <c r="A66" t="s">
        <v>5</v>
      </c>
      <c r="B66" t="s">
        <v>6</v>
      </c>
      <c r="C66">
        <v>2085</v>
      </c>
      <c r="D66" s="1">
        <f t="shared" si="3"/>
        <v>2209.8010565653199</v>
      </c>
      <c r="E66" s="1">
        <f t="shared" si="5"/>
        <v>111.41886071380804</v>
      </c>
    </row>
    <row r="67" spans="1:5" x14ac:dyDescent="0.25">
      <c r="A67" t="s">
        <v>5</v>
      </c>
      <c r="B67" t="s">
        <v>6</v>
      </c>
      <c r="C67">
        <v>2086</v>
      </c>
      <c r="D67" s="1">
        <f t="shared" si="3"/>
        <v>2320.2911093935859</v>
      </c>
      <c r="E67" s="1">
        <f t="shared" si="5"/>
        <v>113.64723792808421</v>
      </c>
    </row>
    <row r="68" spans="1:5" x14ac:dyDescent="0.25">
      <c r="A68" t="s">
        <v>5</v>
      </c>
      <c r="B68" t="s">
        <v>6</v>
      </c>
      <c r="C68">
        <v>2087</v>
      </c>
      <c r="D68" s="1">
        <f t="shared" si="3"/>
        <v>2436.3056648632651</v>
      </c>
      <c r="E68" s="1">
        <f t="shared" si="5"/>
        <v>115.9201826866459</v>
      </c>
    </row>
    <row r="69" spans="1:5" x14ac:dyDescent="0.25">
      <c r="A69" t="s">
        <v>5</v>
      </c>
      <c r="B69" t="s">
        <v>6</v>
      </c>
      <c r="C69">
        <v>2088</v>
      </c>
      <c r="D69" s="1">
        <f t="shared" si="3"/>
        <v>2558.1209481064284</v>
      </c>
      <c r="E69" s="1">
        <f t="shared" si="5"/>
        <v>118.23858634037882</v>
      </c>
    </row>
    <row r="70" spans="1:5" x14ac:dyDescent="0.25">
      <c r="A70" t="s">
        <v>5</v>
      </c>
      <c r="B70" t="s">
        <v>6</v>
      </c>
      <c r="C70">
        <v>2089</v>
      </c>
      <c r="D70" s="1">
        <f t="shared" si="3"/>
        <v>2686.0269955117501</v>
      </c>
      <c r="E70" s="1">
        <f t="shared" si="5"/>
        <v>120.60335806718639</v>
      </c>
    </row>
    <row r="71" spans="1:5" x14ac:dyDescent="0.25">
      <c r="A71" t="s">
        <v>5</v>
      </c>
      <c r="B71" t="s">
        <v>6</v>
      </c>
      <c r="C71">
        <v>2090</v>
      </c>
      <c r="D71" s="1">
        <f t="shared" si="3"/>
        <v>2820.3283452873379</v>
      </c>
      <c r="E71" s="1">
        <f t="shared" si="5"/>
        <v>123.01542522853012</v>
      </c>
    </row>
    <row r="72" spans="1:5" x14ac:dyDescent="0.25">
      <c r="A72" t="s">
        <v>5</v>
      </c>
      <c r="B72" t="s">
        <v>6</v>
      </c>
      <c r="C72">
        <v>2091</v>
      </c>
      <c r="D72" s="1">
        <f t="shared" si="3"/>
        <v>2961.3447625517051</v>
      </c>
      <c r="E72" s="1">
        <f t="shared" si="5"/>
        <v>125.47573373310072</v>
      </c>
    </row>
    <row r="73" spans="1:5" x14ac:dyDescent="0.25">
      <c r="A73" t="s">
        <v>5</v>
      </c>
      <c r="B73" t="s">
        <v>6</v>
      </c>
      <c r="C73">
        <v>2092</v>
      </c>
      <c r="D73" s="1">
        <f t="shared" si="3"/>
        <v>3109.4120006792905</v>
      </c>
      <c r="E73" s="1">
        <f t="shared" si="5"/>
        <v>127.98524840776274</v>
      </c>
    </row>
    <row r="74" spans="1:5" x14ac:dyDescent="0.25">
      <c r="A74" t="s">
        <v>5</v>
      </c>
      <c r="B74" t="s">
        <v>6</v>
      </c>
      <c r="C74">
        <v>2093</v>
      </c>
      <c r="D74" s="1">
        <f t="shared" si="3"/>
        <v>3264.8826007132552</v>
      </c>
      <c r="E74" s="1">
        <f t="shared" si="5"/>
        <v>130.544953375918</v>
      </c>
    </row>
    <row r="75" spans="1:5" x14ac:dyDescent="0.25">
      <c r="A75" t="s">
        <v>5</v>
      </c>
      <c r="B75" t="s">
        <v>6</v>
      </c>
      <c r="C75">
        <v>2094</v>
      </c>
      <c r="D75" s="1">
        <f t="shared" si="3"/>
        <v>3428.1267307489179</v>
      </c>
      <c r="E75" s="1">
        <f t="shared" si="5"/>
        <v>133.15585244343637</v>
      </c>
    </row>
    <row r="76" spans="1:5" x14ac:dyDescent="0.25">
      <c r="A76" t="s">
        <v>5</v>
      </c>
      <c r="B76" t="s">
        <v>6</v>
      </c>
      <c r="C76">
        <v>2095</v>
      </c>
      <c r="D76" s="1">
        <f t="shared" si="3"/>
        <v>3599.5330672863638</v>
      </c>
      <c r="E76" s="1">
        <f t="shared" si="5"/>
        <v>135.81896949230511</v>
      </c>
    </row>
    <row r="77" spans="1:5" x14ac:dyDescent="0.25">
      <c r="A77" t="s">
        <v>5</v>
      </c>
      <c r="B77" t="s">
        <v>6</v>
      </c>
      <c r="C77">
        <v>2096</v>
      </c>
      <c r="D77" s="1">
        <f t="shared" si="3"/>
        <v>3779.5097206506821</v>
      </c>
      <c r="E77" s="1">
        <f t="shared" si="5"/>
        <v>138.53534888215123</v>
      </c>
    </row>
    <row r="78" spans="1:5" x14ac:dyDescent="0.25">
      <c r="A78" t="s">
        <v>5</v>
      </c>
      <c r="B78" t="s">
        <v>6</v>
      </c>
      <c r="C78">
        <v>2097</v>
      </c>
      <c r="D78" s="1">
        <f t="shared" si="3"/>
        <v>3968.4852066832163</v>
      </c>
      <c r="E78" s="1">
        <f t="shared" si="5"/>
        <v>141.30605585979424</v>
      </c>
    </row>
    <row r="79" spans="1:5" x14ac:dyDescent="0.25">
      <c r="A79" t="s">
        <v>5</v>
      </c>
      <c r="B79" t="s">
        <v>6</v>
      </c>
      <c r="C79">
        <v>2098</v>
      </c>
      <c r="D79" s="1">
        <f t="shared" ref="D79:D81" si="6">D78*(1+$H$3)</f>
        <v>4166.9094670173772</v>
      </c>
      <c r="E79" s="1">
        <f t="shared" si="5"/>
        <v>144.13217697699014</v>
      </c>
    </row>
    <row r="80" spans="1:5" x14ac:dyDescent="0.25">
      <c r="A80" t="s">
        <v>5</v>
      </c>
      <c r="B80" t="s">
        <v>6</v>
      </c>
      <c r="C80">
        <v>2099</v>
      </c>
      <c r="D80" s="1">
        <f t="shared" si="6"/>
        <v>4375.254940368246</v>
      </c>
      <c r="E80" s="1">
        <f t="shared" si="5"/>
        <v>147.01482051652994</v>
      </c>
    </row>
    <row r="81" spans="1:5" x14ac:dyDescent="0.25">
      <c r="A81" t="s">
        <v>5</v>
      </c>
      <c r="B81" t="s">
        <v>6</v>
      </c>
      <c r="C81">
        <v>2100</v>
      </c>
      <c r="D81" s="1">
        <f t="shared" si="6"/>
        <v>4594.0176873866585</v>
      </c>
      <c r="E81" s="1">
        <f t="shared" ref="E81" si="7">E80*(1+I$4)</f>
        <v>149.95511692686054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ELC_DMD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Glynn</dc:creator>
  <cp:lastModifiedBy>James GLYNN</cp:lastModifiedBy>
  <dcterms:created xsi:type="dcterms:W3CDTF">2015-06-05T18:17:20Z</dcterms:created>
  <dcterms:modified xsi:type="dcterms:W3CDTF">2026-01-08T15:54:51Z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538029968738555</vt:r8>
  </property>
</Properties>
</file>