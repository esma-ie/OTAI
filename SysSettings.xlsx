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odeName="ThisWorkbook"/>
  <xr:revisionPtr revIDLastSave="0" documentId="13_ncr:1_{4C646789-56B7-46BE-8950-F24DB0AB2323}" xr6:coauthVersionLast="47" xr6:coauthVersionMax="47" xr10:uidLastSave="{00000000-0000-0000-0000-000000000000}"/>
  <bookViews>
    <workbookView xWindow="-52065" yWindow="2415" windowWidth="28800" windowHeight="15345" tabRatio="776" activeTab="1" xr2:uid="{F172D3B5-3C5B-49C9-BC92-AB3F251155CB}"/>
  </bookViews>
  <sheets>
    <sheet name="Regions" sheetId="1" r:id="rId1"/>
    <sheet name="TimePeriods" sheetId="3" r:id="rId2"/>
    <sheet name="Constants" sheetId="9" r:id="rId3"/>
    <sheet name="Currencies" sheetId="4" r:id="rId4"/>
    <sheet name="Dummies" sheetId="7" r:id="rId5"/>
    <sheet name="TS_level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5" i="3" l="1"/>
  <c r="T16" i="3" s="1"/>
  <c r="T17" i="3" s="1"/>
  <c r="T6" i="3"/>
  <c r="T7" i="3" s="1"/>
  <c r="T8" i="3" s="1"/>
  <c r="T9" i="3" s="1"/>
  <c r="T10" i="3" s="1"/>
  <c r="T11" i="3" s="1"/>
  <c r="T12" i="3" s="1"/>
  <c r="T13" i="3" s="1"/>
  <c r="S6" i="3"/>
  <c r="S7" i="3" s="1"/>
  <c r="S8" i="3" s="1"/>
  <c r="S9" i="3" s="1"/>
  <c r="R6" i="3"/>
  <c r="R7" i="3" s="1"/>
  <c r="Q6" i="3"/>
  <c r="Q7" i="3" s="1"/>
  <c r="Q8" i="3" s="1"/>
  <c r="H4" i="1"/>
  <c r="I4" i="1" s="1"/>
  <c r="H5" i="1"/>
  <c r="L5" i="1" s="1"/>
  <c r="H6" i="1"/>
  <c r="K6" i="1" s="1"/>
  <c r="H7" i="1"/>
  <c r="I7" i="1" s="1"/>
  <c r="H8" i="1"/>
  <c r="L8" i="1" s="1"/>
  <c r="H9" i="1"/>
  <c r="L9" i="1" s="1"/>
  <c r="H10" i="1"/>
  <c r="K10" i="1" s="1"/>
  <c r="H11" i="1"/>
  <c r="I11" i="1" s="1"/>
  <c r="H12" i="1"/>
  <c r="I12" i="1" s="1"/>
  <c r="H13" i="1"/>
  <c r="I13" i="1" s="1"/>
  <c r="H14" i="1"/>
  <c r="L14" i="1" s="1"/>
  <c r="H15" i="1"/>
  <c r="L15" i="1" s="1"/>
  <c r="H16" i="1"/>
  <c r="K16" i="1" s="1"/>
  <c r="H17" i="1"/>
  <c r="I17" i="1" s="1"/>
  <c r="H18" i="1"/>
  <c r="I18" i="1" s="1"/>
  <c r="H19" i="1"/>
  <c r="K19" i="1" s="1"/>
  <c r="H20" i="1"/>
  <c r="K20" i="1" s="1"/>
  <c r="H21" i="1"/>
  <c r="I21" i="1" s="1"/>
  <c r="H22" i="1"/>
  <c r="I22" i="1" s="1"/>
  <c r="H23" i="1"/>
  <c r="I23" i="1" s="1"/>
  <c r="H24" i="1"/>
  <c r="I24" i="1" s="1"/>
  <c r="H25" i="1"/>
  <c r="K25" i="1" s="1"/>
  <c r="H26" i="1"/>
  <c r="L26" i="1" s="1"/>
  <c r="H27" i="1"/>
  <c r="K27" i="1" s="1"/>
  <c r="H28" i="1"/>
  <c r="I28" i="1" s="1"/>
  <c r="H29" i="1"/>
  <c r="L29" i="1" s="1"/>
  <c r="H30" i="1"/>
  <c r="I30" i="1" s="1"/>
  <c r="H3" i="1"/>
  <c r="I3" i="1" s="1"/>
  <c r="A5" i="4"/>
  <c r="D5" i="4" s="1"/>
  <c r="A4" i="4"/>
  <c r="D4" i="4" s="1"/>
  <c r="A3" i="4"/>
  <c r="E4" i="4" s="1"/>
  <c r="F4" i="4"/>
  <c r="F5" i="4"/>
  <c r="K22" i="1" l="1"/>
  <c r="L22" i="1"/>
  <c r="L24" i="1"/>
  <c r="I20" i="1"/>
  <c r="L17" i="1"/>
  <c r="I9" i="1"/>
  <c r="I8" i="1"/>
  <c r="I6" i="1"/>
  <c r="K5" i="1"/>
  <c r="I5" i="1"/>
  <c r="L4" i="1"/>
  <c r="K9" i="1"/>
  <c r="K4" i="1"/>
  <c r="L3" i="1"/>
  <c r="E9" i="4"/>
  <c r="E7" i="4"/>
  <c r="E17" i="4"/>
  <c r="E16" i="4"/>
  <c r="E22" i="4"/>
  <c r="E15" i="4"/>
  <c r="E20" i="4"/>
  <c r="E14" i="4"/>
  <c r="E25" i="4"/>
  <c r="E13" i="4"/>
  <c r="E23" i="4"/>
  <c r="E12" i="4"/>
  <c r="E5" i="4"/>
  <c r="E19" i="4"/>
  <c r="E18" i="4"/>
  <c r="E11" i="4"/>
  <c r="E21" i="4"/>
  <c r="E10" i="4"/>
  <c r="E8" i="4"/>
  <c r="E6" i="4"/>
  <c r="E24" i="4"/>
  <c r="K17" i="1"/>
  <c r="K15" i="1"/>
  <c r="I16" i="1"/>
  <c r="L27" i="1"/>
  <c r="K3" i="1"/>
  <c r="K8" i="1"/>
  <c r="L16" i="1"/>
  <c r="L11" i="1"/>
  <c r="L28" i="1"/>
  <c r="K28" i="1"/>
  <c r="L23" i="1"/>
  <c r="L7" i="1"/>
  <c r="K23" i="1"/>
  <c r="K7" i="1"/>
  <c r="K12" i="1"/>
  <c r="K29" i="1"/>
  <c r="I10" i="1"/>
  <c r="L13" i="1"/>
  <c r="L12" i="1"/>
  <c r="I29" i="1"/>
  <c r="K11" i="1"/>
  <c r="I27" i="1"/>
  <c r="L20" i="1"/>
  <c r="I15" i="1"/>
  <c r="I19" i="1"/>
  <c r="K13" i="1"/>
  <c r="L19" i="1"/>
  <c r="K24" i="1"/>
  <c r="K26" i="1"/>
  <c r="L10" i="1"/>
  <c r="L21" i="1"/>
  <c r="K21" i="1"/>
  <c r="K14" i="1"/>
  <c r="L25" i="1"/>
  <c r="L30" i="1"/>
  <c r="L18" i="1"/>
  <c r="L6" i="1"/>
  <c r="I26" i="1"/>
  <c r="K30" i="1"/>
  <c r="K18" i="1"/>
  <c r="I14" i="1"/>
  <c r="I25" i="1"/>
  <c r="L8" i="4"/>
  <c r="F6" i="4" s="1"/>
  <c r="L9" i="4"/>
  <c r="F7" i="4" s="1"/>
  <c r="L10" i="4"/>
  <c r="F8" i="4" s="1"/>
  <c r="L11" i="4"/>
  <c r="F9" i="4" s="1"/>
  <c r="L12" i="4"/>
  <c r="F10" i="4" s="1"/>
  <c r="L13" i="4"/>
  <c r="F11" i="4" s="1"/>
  <c r="L14" i="4"/>
  <c r="F12" i="4" s="1"/>
  <c r="L15" i="4"/>
  <c r="F13" i="4" s="1"/>
  <c r="L16" i="4"/>
  <c r="F14" i="4" s="1"/>
  <c r="L17" i="4"/>
  <c r="F15" i="4" s="1"/>
  <c r="L18" i="4"/>
  <c r="F16" i="4" s="1"/>
  <c r="L19" i="4"/>
  <c r="F17" i="4" s="1"/>
  <c r="L20" i="4"/>
  <c r="F18" i="4" s="1"/>
  <c r="L21" i="4"/>
  <c r="F19" i="4" s="1"/>
  <c r="L22" i="4"/>
  <c r="F20" i="4" s="1"/>
  <c r="L23" i="4"/>
  <c r="F21" i="4" s="1"/>
  <c r="L24" i="4"/>
  <c r="F22" i="4" s="1"/>
  <c r="L25" i="4"/>
  <c r="F23" i="4" s="1"/>
  <c r="L26" i="4"/>
  <c r="F24" i="4" s="1"/>
  <c r="L27" i="4"/>
  <c r="F25" i="4" s="1"/>
  <c r="L7" i="4"/>
  <c r="A6" i="4"/>
  <c r="D6" i="4" s="1"/>
  <c r="A8" i="4" l="1"/>
  <c r="D8" i="4" s="1"/>
  <c r="A9" i="4"/>
  <c r="D9" i="4" s="1"/>
  <c r="A10" i="4"/>
  <c r="D10" i="4" s="1"/>
  <c r="A11" i="4"/>
  <c r="D11" i="4" s="1"/>
  <c r="A12" i="4"/>
  <c r="D12" i="4" s="1"/>
  <c r="A13" i="4"/>
  <c r="D13" i="4" s="1"/>
  <c r="A14" i="4"/>
  <c r="D14" i="4" s="1"/>
  <c r="A15" i="4"/>
  <c r="D15" i="4" s="1"/>
  <c r="A16" i="4"/>
  <c r="D16" i="4" s="1"/>
  <c r="A17" i="4"/>
  <c r="D17" i="4" s="1"/>
  <c r="A18" i="4"/>
  <c r="D18" i="4" s="1"/>
  <c r="A19" i="4"/>
  <c r="D19" i="4" s="1"/>
  <c r="A20" i="4"/>
  <c r="D20" i="4" s="1"/>
  <c r="A21" i="4"/>
  <c r="D21" i="4" s="1"/>
  <c r="A22" i="4"/>
  <c r="D22" i="4" s="1"/>
  <c r="A23" i="4"/>
  <c r="D23" i="4" s="1"/>
  <c r="A24" i="4"/>
  <c r="D24" i="4" s="1"/>
  <c r="A25" i="4"/>
  <c r="D25" i="4" s="1"/>
  <c r="A7" i="4"/>
  <c r="D7" i="4" s="1"/>
  <c r="U6" i="3"/>
  <c r="U7" i="3" s="1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</calcChain>
</file>

<file path=xl/sharedStrings.xml><?xml version="1.0" encoding="utf-8"?>
<sst xmlns="http://schemas.openxmlformats.org/spreadsheetml/2006/main" count="516" uniqueCount="239">
  <si>
    <t>~BookRegions_Map</t>
  </si>
  <si>
    <t>BookName</t>
  </si>
  <si>
    <t>Region</t>
  </si>
  <si>
    <t>REG1</t>
  </si>
  <si>
    <t>~TFM_INS</t>
  </si>
  <si>
    <t>TimeSlice</t>
  </si>
  <si>
    <t>CURR</t>
  </si>
  <si>
    <t>Attribute</t>
  </si>
  <si>
    <t>Year</t>
  </si>
  <si>
    <t>Other_Indexes</t>
  </si>
  <si>
    <t>AllRegions</t>
  </si>
  <si>
    <t>~StartYear</t>
  </si>
  <si>
    <t>LimType</t>
  </si>
  <si>
    <t>Pset_PN</t>
  </si>
  <si>
    <t>REG2</t>
  </si>
  <si>
    <t>Pset_Set</t>
  </si>
  <si>
    <t>Pset_PD</t>
  </si>
  <si>
    <t>Pset_CI</t>
  </si>
  <si>
    <t>Pset_CO</t>
  </si>
  <si>
    <t>Cset_Set</t>
  </si>
  <si>
    <t>Cset_CN</t>
  </si>
  <si>
    <t>Cset_CD</t>
  </si>
  <si>
    <t>IRE</t>
  </si>
  <si>
    <t>IMP*Z</t>
  </si>
  <si>
    <t>IMPDEMZ</t>
  </si>
  <si>
    <t>~Currencies</t>
  </si>
  <si>
    <t>Currency</t>
  </si>
  <si>
    <t>\I:  Attribute name</t>
  </si>
  <si>
    <t>Currency name</t>
  </si>
  <si>
    <t>Additional index</t>
  </si>
  <si>
    <t>Value by region</t>
  </si>
  <si>
    <t>G_CUREX</t>
  </si>
  <si>
    <t>PJ</t>
  </si>
  <si>
    <t>Conversion between different currency (USD) years  is taken from:</t>
  </si>
  <si>
    <t xml:space="preserve">Sources:
</t>
  </si>
  <si>
    <t>http://cpiinflationcalculator.com/</t>
  </si>
  <si>
    <t>http://www.bls.gov/data/inflation_calculator.htm</t>
  </si>
  <si>
    <t>Annual CPI - USD</t>
  </si>
  <si>
    <t>Annual inflation rate</t>
  </si>
  <si>
    <t>\I: Notes</t>
  </si>
  <si>
    <t>\I: TIMES attribute name</t>
  </si>
  <si>
    <t>Commodity name</t>
  </si>
  <si>
    <t>G_DYEAR</t>
  </si>
  <si>
    <t>Discounting year</t>
  </si>
  <si>
    <t>General real discount rate</t>
  </si>
  <si>
    <t>COM_IE</t>
  </si>
  <si>
    <t>ELCC</t>
  </si>
  <si>
    <t>~UnitConversion</t>
  </si>
  <si>
    <t>from_unit</t>
  </si>
  <si>
    <t>to_unit</t>
  </si>
  <si>
    <t>multiplier</t>
  </si>
  <si>
    <t>Billion Kwh</t>
  </si>
  <si>
    <t>Mt</t>
  </si>
  <si>
    <t>Kt</t>
  </si>
  <si>
    <t>BEuro</t>
  </si>
  <si>
    <t>MEuro</t>
  </si>
  <si>
    <t>ktoe</t>
  </si>
  <si>
    <t>mtoe</t>
  </si>
  <si>
    <t>Gwh</t>
  </si>
  <si>
    <t>Gt</t>
  </si>
  <si>
    <t>EJ</t>
  </si>
  <si>
    <t>Twh</t>
  </si>
  <si>
    <t>ID</t>
  </si>
  <si>
    <t>ISO 3166-1 Number</t>
  </si>
  <si>
    <t>CO</t>
  </si>
  <si>
    <t>KY</t>
  </si>
  <si>
    <t>MN</t>
  </si>
  <si>
    <t>MO</t>
  </si>
  <si>
    <t>UTC_TIME_ZONE</t>
  </si>
  <si>
    <t>PRC_TSL</t>
  </si>
  <si>
    <t>DayNite</t>
  </si>
  <si>
    <t>TRD_ELCC*</t>
  </si>
  <si>
    <t>~Milestoneyears</t>
  </si>
  <si>
    <t>type</t>
  </si>
  <si>
    <t>endyear</t>
  </si>
  <si>
    <t>milestoneyear</t>
  </si>
  <si>
    <t>G_DRATE</t>
  </si>
  <si>
    <t>PSet_PN</t>
  </si>
  <si>
    <t>PSet_Set</t>
  </si>
  <si>
    <t>~TFM_UPD</t>
  </si>
  <si>
    <t>ACT_COST</t>
  </si>
  <si>
    <t>IE</t>
  </si>
  <si>
    <t>NI</t>
  </si>
  <si>
    <t>County Name</t>
  </si>
  <si>
    <t>Galway</t>
  </si>
  <si>
    <t>https://en.wikipedia.org/wiki/ISO_3166-2:IE#:~:text=ISO%203166%2D2%3AIE%20is,coded%20in%20ISO%203166%2D1.</t>
  </si>
  <si>
    <t>Code</t>
  </si>
  <si>
    <t>Alpha-2</t>
  </si>
  <si>
    <t>IE-G</t>
  </si>
  <si>
    <t>G</t>
  </si>
  <si>
    <t>CENSUS GEO ID</t>
  </si>
  <si>
    <t>ISO 3166-1 Alpha-2 Letter Code</t>
  </si>
  <si>
    <t>ISO 3166-1 Alpha-3 Letter Code</t>
  </si>
  <si>
    <t>IRL</t>
  </si>
  <si>
    <t>ISO Short Name</t>
  </si>
  <si>
    <t>IRELAND</t>
  </si>
  <si>
    <t>Gaillimh</t>
  </si>
  <si>
    <t>C</t>
  </si>
  <si>
    <t>IE-LM</t>
  </si>
  <si>
    <t>Leitrim</t>
  </si>
  <si>
    <t>Liatroim</t>
  </si>
  <si>
    <t>IE-MO</t>
  </si>
  <si>
    <t>Mayo</t>
  </si>
  <si>
    <t>Maigh Eo</t>
  </si>
  <si>
    <t>IE-RN</t>
  </si>
  <si>
    <t>Roscommon</t>
  </si>
  <si>
    <t>Ros Comáin</t>
  </si>
  <si>
    <t>IE-SO</t>
  </si>
  <si>
    <t>Sligo</t>
  </si>
  <si>
    <t>Sligeach</t>
  </si>
  <si>
    <t>IE-CW</t>
  </si>
  <si>
    <t>Carlow</t>
  </si>
  <si>
    <t>Ceatharlach</t>
  </si>
  <si>
    <t>L</t>
  </si>
  <si>
    <t>IE-D</t>
  </si>
  <si>
    <t>Dublin</t>
  </si>
  <si>
    <t>Baile Átha Cliath</t>
  </si>
  <si>
    <t>IE-KE</t>
  </si>
  <si>
    <t>Kildare</t>
  </si>
  <si>
    <t>Cill Dara</t>
  </si>
  <si>
    <t>IE-KK</t>
  </si>
  <si>
    <t>Kilkenny</t>
  </si>
  <si>
    <t>Cill Chainnigh</t>
  </si>
  <si>
    <t>IE-LD</t>
  </si>
  <si>
    <t>Longford</t>
  </si>
  <si>
    <t>An Longfort</t>
  </si>
  <si>
    <t>IE-LH</t>
  </si>
  <si>
    <t>Louth</t>
  </si>
  <si>
    <t>Lú</t>
  </si>
  <si>
    <t>IE-LS</t>
  </si>
  <si>
    <t>Laois</t>
  </si>
  <si>
    <t>IE-MH</t>
  </si>
  <si>
    <t>Meath</t>
  </si>
  <si>
    <t>An Mhí</t>
  </si>
  <si>
    <t>IE-OY</t>
  </si>
  <si>
    <t>Offaly</t>
  </si>
  <si>
    <t>Uíbh Fhailí</t>
  </si>
  <si>
    <t>IE-WH</t>
  </si>
  <si>
    <t>Westmeath</t>
  </si>
  <si>
    <t>An Iarmhí</t>
  </si>
  <si>
    <t>IE-WW</t>
  </si>
  <si>
    <t>Wicklow</t>
  </si>
  <si>
    <t>Cill Mhantáin</t>
  </si>
  <si>
    <t>IE-WX</t>
  </si>
  <si>
    <t>Wexford</t>
  </si>
  <si>
    <t>Loch Garman</t>
  </si>
  <si>
    <t>IE-CE</t>
  </si>
  <si>
    <t>Clare</t>
  </si>
  <si>
    <t>An Clár</t>
  </si>
  <si>
    <t>M</t>
  </si>
  <si>
    <t>IE-CO</t>
  </si>
  <si>
    <t>Cork</t>
  </si>
  <si>
    <t>Corcaigh</t>
  </si>
  <si>
    <t>IE-KY</t>
  </si>
  <si>
    <t>Kerry</t>
  </si>
  <si>
    <t>Ciarraí</t>
  </si>
  <si>
    <t>IE-LK</t>
  </si>
  <si>
    <t>Limerick</t>
  </si>
  <si>
    <t>Luimneach</t>
  </si>
  <si>
    <t>IE-TA</t>
  </si>
  <si>
    <t>Tipperary</t>
  </si>
  <si>
    <t>Tiobraid Árann</t>
  </si>
  <si>
    <t>IE-WD</t>
  </si>
  <si>
    <t>Waterford</t>
  </si>
  <si>
    <t>Port Láirge</t>
  </si>
  <si>
    <t>IE-CN</t>
  </si>
  <si>
    <t>Cavan</t>
  </si>
  <si>
    <t>An Cabhán</t>
  </si>
  <si>
    <t>U</t>
  </si>
  <si>
    <t>IE-DL</t>
  </si>
  <si>
    <t>Donegal</t>
  </si>
  <si>
    <t>Dún na nGall</t>
  </si>
  <si>
    <t>IE-MN</t>
  </si>
  <si>
    <t>Monaghan</t>
  </si>
  <si>
    <t>Muineachán</t>
  </si>
  <si>
    <t>Name (EN)</t>
  </si>
  <si>
    <t>Name (GA)</t>
  </si>
  <si>
    <t>CENSUS-GEOID</t>
  </si>
  <si>
    <t>SPLIT1</t>
  </si>
  <si>
    <t>LM</t>
  </si>
  <si>
    <t>RN</t>
  </si>
  <si>
    <t>SO</t>
  </si>
  <si>
    <t>CW</t>
  </si>
  <si>
    <t>D</t>
  </si>
  <si>
    <t>KE</t>
  </si>
  <si>
    <t>KK</t>
  </si>
  <si>
    <t>LD</t>
  </si>
  <si>
    <t>LH</t>
  </si>
  <si>
    <t>LS</t>
  </si>
  <si>
    <t>MH</t>
  </si>
  <si>
    <t>OY</t>
  </si>
  <si>
    <t>WH</t>
  </si>
  <si>
    <t>WW</t>
  </si>
  <si>
    <t>WX</t>
  </si>
  <si>
    <t>CE</t>
  </si>
  <si>
    <t>LK</t>
  </si>
  <si>
    <t>TA</t>
  </si>
  <si>
    <t>WD</t>
  </si>
  <si>
    <t>CN</t>
  </si>
  <si>
    <t>DL</t>
  </si>
  <si>
    <t>CENSUS_GEOID</t>
  </si>
  <si>
    <t>IE-C</t>
  </si>
  <si>
    <t>Connacht</t>
  </si>
  <si>
    <t>IE-L</t>
  </si>
  <si>
    <t>Laighin</t>
  </si>
  <si>
    <t>IE-M</t>
  </si>
  <si>
    <t>An Mhumhain</t>
  </si>
  <si>
    <t>IE-U</t>
  </si>
  <si>
    <t>Ulaidh</t>
  </si>
  <si>
    <t xml:space="preserve"> Connaught</t>
  </si>
  <si>
    <t xml:space="preserve"> Leinster</t>
  </si>
  <si>
    <t xml:space="preserve"> Munster</t>
  </si>
  <si>
    <t xml:space="preserve"> Ulster[a]</t>
  </si>
  <si>
    <t>Ireland</t>
  </si>
  <si>
    <t>Eire</t>
  </si>
  <si>
    <t>Northern Ireland</t>
  </si>
  <si>
    <t>…</t>
  </si>
  <si>
    <t>2024-2024</t>
  </si>
  <si>
    <t>2024-2050-p5</t>
  </si>
  <si>
    <t>2024-2100-p17</t>
  </si>
  <si>
    <t>2024-2025-p2</t>
  </si>
  <si>
    <t>2024-2100-p11</t>
  </si>
  <si>
    <t>2024-2032-ey</t>
  </si>
  <si>
    <t>2024-2050-ey</t>
  </si>
  <si>
    <t>2024-2100-ey</t>
  </si>
  <si>
    <t>AI</t>
  </si>
  <si>
    <t>~TFM_INS-TXT</t>
  </si>
  <si>
    <t>2024-2065-p6</t>
  </si>
  <si>
    <t>2024-2030-p3</t>
  </si>
  <si>
    <t>2024-2050-p3</t>
  </si>
  <si>
    <t>2024-2050-p4</t>
  </si>
  <si>
    <t>2024-2100-Sp25Yr</t>
  </si>
  <si>
    <t>2024-2100-Sp20Yr</t>
  </si>
  <si>
    <t>2024-2100-Sp10Yr</t>
  </si>
  <si>
    <t>2024-2100-Sp5Yr</t>
  </si>
  <si>
    <t>2024-2100-Sp4Yr</t>
  </si>
  <si>
    <t>2024-2100-p10</t>
  </si>
  <si>
    <t>2024-2100-p6</t>
  </si>
  <si>
    <t>2024-2100-p7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</si>
</sst>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2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b/>
      <sz val="11"/>
      <color indexed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</font>
    <font>
      <b/>
      <sz val="11"/>
      <color indexed="12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9"/>
      <name val="Calibri"/>
      <family val="2"/>
    </font>
    <font>
      <b/>
      <sz val="11"/>
      <color theme="9"/>
      <name val="Calibri"/>
      <family val="2"/>
      <scheme val="minor"/>
    </font>
    <font>
      <b/>
      <sz val="10"/>
      <color theme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0" fillId="0" borderId="0" xfId="0" applyFont="1"/>
    <xf numFmtId="0" fontId="11" fillId="3" borderId="2" xfId="0" applyFont="1" applyFill="1" applyBorder="1"/>
    <xf numFmtId="0" fontId="12" fillId="0" borderId="0" xfId="0" applyFont="1"/>
    <xf numFmtId="0" fontId="13" fillId="0" borderId="0" xfId="0" applyFont="1"/>
    <xf numFmtId="0" fontId="4" fillId="0" borderId="0" xfId="0" applyFont="1"/>
    <xf numFmtId="0" fontId="8" fillId="0" borderId="0" xfId="0" applyFont="1" applyAlignment="1">
      <alignment horizontal="left" vertical="center" wrapText="1"/>
    </xf>
    <xf numFmtId="166" fontId="0" fillId="0" borderId="0" xfId="0" applyNumberFormat="1"/>
    <xf numFmtId="164" fontId="10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165" fontId="0" fillId="0" borderId="0" xfId="0" applyNumberFormat="1"/>
    <xf numFmtId="2" fontId="0" fillId="0" borderId="0" xfId="0" applyNumberFormat="1"/>
    <xf numFmtId="2" fontId="10" fillId="0" borderId="0" xfId="0" applyNumberFormat="1" applyFont="1"/>
    <xf numFmtId="164" fontId="9" fillId="0" borderId="0" xfId="0" applyNumberFormat="1" applyFont="1"/>
    <xf numFmtId="0" fontId="16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18" fillId="4" borderId="3" xfId="0" applyFont="1" applyFill="1" applyBorder="1"/>
    <xf numFmtId="165" fontId="10" fillId="0" borderId="0" xfId="0" applyNumberFormat="1" applyFont="1"/>
    <xf numFmtId="0" fontId="7" fillId="0" borderId="0" xfId="0" applyFont="1" applyAlignment="1">
      <alignment horizontal="center"/>
    </xf>
    <xf numFmtId="0" fontId="15" fillId="5" borderId="0" xfId="0" applyFont="1" applyFill="1"/>
    <xf numFmtId="0" fontId="14" fillId="5" borderId="0" xfId="0" applyFont="1" applyFill="1"/>
    <xf numFmtId="0" fontId="1" fillId="2" borderId="1" xfId="0" applyFont="1" applyFill="1" applyBorder="1"/>
    <xf numFmtId="0" fontId="19" fillId="5" borderId="0" xfId="0" applyFont="1" applyFill="1"/>
    <xf numFmtId="0" fontId="20" fillId="7" borderId="0" xfId="0" applyFont="1" applyFill="1" applyAlignment="1">
      <alignment vertical="center"/>
    </xf>
    <xf numFmtId="0" fontId="5" fillId="7" borderId="0" xfId="0" applyFont="1" applyFill="1" applyAlignment="1">
      <alignment horizontal="left" vertical="center"/>
    </xf>
    <xf numFmtId="0" fontId="21" fillId="0" borderId="0" xfId="0" applyFont="1"/>
    <xf numFmtId="0" fontId="22" fillId="6" borderId="0" xfId="0" applyFont="1" applyFill="1"/>
    <xf numFmtId="0" fontId="22" fillId="0" borderId="0" xfId="0" applyFont="1"/>
    <xf numFmtId="0" fontId="2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.wikipedia.org/wiki/ISO_3166-2:I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cpiinflationcalculator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FA01-189A-48B5-B5A6-8ABF821E023E}">
  <sheetPr codeName="Sheet1"/>
  <dimension ref="A1:AC88"/>
  <sheetViews>
    <sheetView workbookViewId="0"/>
  </sheetViews>
  <sheetFormatPr defaultRowHeight="15" x14ac:dyDescent="0.25"/>
  <cols>
    <col min="1" max="1" width="20.5703125" bestFit="1" customWidth="1"/>
    <col min="2" max="2" width="7.140625" bestFit="1" customWidth="1"/>
    <col min="3" max="4" width="1.7109375" customWidth="1"/>
    <col min="5" max="6" width="3" bestFit="1" customWidth="1"/>
    <col min="7" max="7" width="16" bestFit="1" customWidth="1"/>
    <col min="8" max="8" width="7" bestFit="1" customWidth="1"/>
    <col min="9" max="9" width="7.7109375" bestFit="1" customWidth="1"/>
    <col min="10" max="10" width="17.5703125" bestFit="1" customWidth="1"/>
    <col min="11" max="11" width="8.5703125" bestFit="1" customWidth="1"/>
    <col min="12" max="12" width="16" bestFit="1" customWidth="1"/>
    <col min="13" max="13" width="20.140625" bestFit="1" customWidth="1"/>
    <col min="14" max="15" width="32" bestFit="1" customWidth="1"/>
    <col min="16" max="16" width="16.7109375" bestFit="1" customWidth="1"/>
    <col min="17" max="17" width="25.28515625" bestFit="1" customWidth="1"/>
    <col min="18" max="18" width="7.140625" bestFit="1" customWidth="1"/>
    <col min="19" max="19" width="107.85546875" bestFit="1" customWidth="1"/>
    <col min="20" max="20" width="5.5703125" bestFit="1" customWidth="1"/>
    <col min="21" max="21" width="16" bestFit="1" customWidth="1"/>
    <col min="22" max="22" width="15.7109375" bestFit="1" customWidth="1"/>
    <col min="23" max="23" width="7.85546875" bestFit="1" customWidth="1"/>
    <col min="24" max="24" width="14.28515625" bestFit="1" customWidth="1"/>
    <col min="25" max="25" width="6.5703125" bestFit="1" customWidth="1"/>
    <col min="26" max="26" width="5.42578125" bestFit="1" customWidth="1"/>
    <col min="27" max="27" width="5.85546875" bestFit="1" customWidth="1"/>
    <col min="28" max="28" width="12.28515625" bestFit="1" customWidth="1"/>
    <col min="29" max="29" width="2.28515625" bestFit="1" customWidth="1"/>
  </cols>
  <sheetData>
    <row r="1" spans="1:29" x14ac:dyDescent="0.25">
      <c r="A1" s="29" t="s">
        <v>0</v>
      </c>
    </row>
    <row r="2" spans="1:29" ht="15.75" x14ac:dyDescent="0.25">
      <c r="A2" s="25" t="s">
        <v>1</v>
      </c>
      <c r="B2" s="25" t="s">
        <v>2</v>
      </c>
      <c r="F2" s="26" t="s">
        <v>62</v>
      </c>
      <c r="G2" s="26" t="s">
        <v>83</v>
      </c>
      <c r="H2" s="26" t="s">
        <v>62</v>
      </c>
      <c r="I2" s="26" t="s">
        <v>2</v>
      </c>
      <c r="J2" s="26" t="s">
        <v>68</v>
      </c>
      <c r="K2" s="26" t="s">
        <v>87</v>
      </c>
      <c r="L2" s="26" t="s">
        <v>90</v>
      </c>
      <c r="M2" s="26" t="s">
        <v>63</v>
      </c>
      <c r="N2" s="26" t="s">
        <v>91</v>
      </c>
      <c r="O2" s="26" t="s">
        <v>92</v>
      </c>
      <c r="P2" s="26" t="s">
        <v>94</v>
      </c>
      <c r="S2" s="17" t="s">
        <v>85</v>
      </c>
    </row>
    <row r="3" spans="1:29" x14ac:dyDescent="0.25">
      <c r="A3" t="s">
        <v>225</v>
      </c>
      <c r="B3" s="18" t="s">
        <v>81</v>
      </c>
      <c r="F3" s="18">
        <v>1</v>
      </c>
      <c r="G3" t="s">
        <v>213</v>
      </c>
      <c r="H3" t="str">
        <f t="shared" ref="H3:H30" si="0">VLOOKUP($G3,$U$5:$X$61,3,FALSE)</f>
        <v>IE</v>
      </c>
      <c r="I3" t="str">
        <f>H3</f>
        <v>IE</v>
      </c>
      <c r="K3" s="18" t="str">
        <f>H3</f>
        <v>IE</v>
      </c>
      <c r="L3" t="str">
        <f>H3</f>
        <v>IE</v>
      </c>
      <c r="M3">
        <v>372</v>
      </c>
      <c r="N3" t="s">
        <v>81</v>
      </c>
      <c r="O3" t="s">
        <v>93</v>
      </c>
      <c r="P3" s="18" t="s">
        <v>95</v>
      </c>
    </row>
    <row r="4" spans="1:29" ht="15.75" thickBot="1" x14ac:dyDescent="0.3">
      <c r="B4" t="s">
        <v>82</v>
      </c>
      <c r="F4" s="18">
        <v>2</v>
      </c>
      <c r="G4" t="s">
        <v>215</v>
      </c>
      <c r="H4" t="str">
        <f t="shared" si="0"/>
        <v>NI</v>
      </c>
      <c r="I4" t="str">
        <f t="shared" ref="I4:I30" si="1">H4</f>
        <v>NI</v>
      </c>
      <c r="K4" s="18" t="str">
        <f t="shared" ref="K4:K30" si="2">H4</f>
        <v>NI</v>
      </c>
      <c r="L4" t="str">
        <f t="shared" ref="L4:L30" si="3">H4</f>
        <v>NI</v>
      </c>
      <c r="M4">
        <v>372</v>
      </c>
      <c r="N4" t="s">
        <v>81</v>
      </c>
      <c r="O4" t="s">
        <v>93</v>
      </c>
      <c r="P4" s="18" t="s">
        <v>95</v>
      </c>
      <c r="S4" t="s">
        <v>200</v>
      </c>
      <c r="T4" t="s">
        <v>86</v>
      </c>
      <c r="U4" t="s">
        <v>175</v>
      </c>
      <c r="V4" t="s">
        <v>176</v>
      </c>
      <c r="W4" t="s">
        <v>87</v>
      </c>
      <c r="X4" t="s">
        <v>177</v>
      </c>
      <c r="Y4" t="s">
        <v>178</v>
      </c>
      <c r="AA4" s="2" t="s">
        <v>81</v>
      </c>
      <c r="AB4" s="2" t="s">
        <v>82</v>
      </c>
      <c r="AC4" s="2" t="s">
        <v>216</v>
      </c>
    </row>
    <row r="5" spans="1:29" x14ac:dyDescent="0.25">
      <c r="F5" s="18">
        <v>3</v>
      </c>
      <c r="G5" t="s">
        <v>84</v>
      </c>
      <c r="H5" t="str">
        <f t="shared" si="0"/>
        <v>IE-G</v>
      </c>
      <c r="I5" t="str">
        <f t="shared" si="1"/>
        <v>IE-G</v>
      </c>
      <c r="K5" s="18" t="str">
        <f t="shared" si="2"/>
        <v>IE-G</v>
      </c>
      <c r="L5" t="str">
        <f t="shared" si="3"/>
        <v>IE-G</v>
      </c>
      <c r="M5">
        <v>372</v>
      </c>
      <c r="N5" t="s">
        <v>81</v>
      </c>
      <c r="O5" t="s">
        <v>93</v>
      </c>
      <c r="P5" s="18" t="s">
        <v>95</v>
      </c>
      <c r="T5" t="s">
        <v>81</v>
      </c>
      <c r="U5" t="s">
        <v>213</v>
      </c>
      <c r="V5" t="s">
        <v>214</v>
      </c>
      <c r="W5" t="s">
        <v>81</v>
      </c>
      <c r="AA5" s="19" t="s">
        <v>213</v>
      </c>
      <c r="AB5" s="19" t="s">
        <v>215</v>
      </c>
      <c r="AC5" s="19" t="s">
        <v>216</v>
      </c>
    </row>
    <row r="6" spans="1:29" x14ac:dyDescent="0.25">
      <c r="F6" s="18">
        <v>4</v>
      </c>
      <c r="G6" t="s">
        <v>99</v>
      </c>
      <c r="H6" t="str">
        <f t="shared" si="0"/>
        <v>IE-LM</v>
      </c>
      <c r="I6" t="str">
        <f t="shared" si="1"/>
        <v>IE-LM</v>
      </c>
      <c r="K6" s="18" t="str">
        <f t="shared" si="2"/>
        <v>IE-LM</v>
      </c>
      <c r="L6" t="str">
        <f t="shared" si="3"/>
        <v>IE-LM</v>
      </c>
      <c r="M6">
        <v>372</v>
      </c>
      <c r="N6" t="s">
        <v>81</v>
      </c>
      <c r="O6" t="s">
        <v>93</v>
      </c>
      <c r="P6" s="18" t="s">
        <v>95</v>
      </c>
      <c r="T6" t="s">
        <v>82</v>
      </c>
      <c r="U6" t="s">
        <v>215</v>
      </c>
      <c r="W6" t="s">
        <v>82</v>
      </c>
    </row>
    <row r="7" spans="1:29" x14ac:dyDescent="0.25">
      <c r="F7" s="18">
        <v>5</v>
      </c>
      <c r="G7" t="s">
        <v>102</v>
      </c>
      <c r="H7" t="str">
        <f t="shared" si="0"/>
        <v>IE-MO</v>
      </c>
      <c r="I7" t="str">
        <f t="shared" si="1"/>
        <v>IE-MO</v>
      </c>
      <c r="K7" s="18" t="str">
        <f t="shared" si="2"/>
        <v>IE-MO</v>
      </c>
      <c r="L7" t="str">
        <f t="shared" si="3"/>
        <v>IE-MO</v>
      </c>
      <c r="M7">
        <v>372</v>
      </c>
      <c r="N7" t="s">
        <v>81</v>
      </c>
      <c r="O7" t="s">
        <v>93</v>
      </c>
      <c r="P7" s="18" t="s">
        <v>95</v>
      </c>
      <c r="T7" t="s">
        <v>97</v>
      </c>
      <c r="U7" t="s">
        <v>209</v>
      </c>
      <c r="V7" t="s">
        <v>202</v>
      </c>
      <c r="W7" t="s">
        <v>201</v>
      </c>
    </row>
    <row r="8" spans="1:29" x14ac:dyDescent="0.25">
      <c r="F8" s="18">
        <v>6</v>
      </c>
      <c r="G8" t="s">
        <v>105</v>
      </c>
      <c r="H8" t="str">
        <f t="shared" si="0"/>
        <v>IE-RN</v>
      </c>
      <c r="I8" t="str">
        <f t="shared" si="1"/>
        <v>IE-RN</v>
      </c>
      <c r="K8" s="18" t="str">
        <f t="shared" si="2"/>
        <v>IE-RN</v>
      </c>
      <c r="L8" t="str">
        <f t="shared" si="3"/>
        <v>IE-RN</v>
      </c>
      <c r="M8">
        <v>372</v>
      </c>
      <c r="N8" t="s">
        <v>81</v>
      </c>
      <c r="O8" t="s">
        <v>93</v>
      </c>
      <c r="P8" s="18" t="s">
        <v>95</v>
      </c>
      <c r="T8" t="s">
        <v>113</v>
      </c>
      <c r="U8" t="s">
        <v>210</v>
      </c>
      <c r="V8" t="s">
        <v>204</v>
      </c>
      <c r="W8" t="s">
        <v>203</v>
      </c>
    </row>
    <row r="9" spans="1:29" x14ac:dyDescent="0.25">
      <c r="F9" s="18">
        <v>7</v>
      </c>
      <c r="G9" t="s">
        <v>108</v>
      </c>
      <c r="H9" t="str">
        <f t="shared" si="0"/>
        <v>IE-SO</v>
      </c>
      <c r="I9" t="str">
        <f t="shared" si="1"/>
        <v>IE-SO</v>
      </c>
      <c r="K9" s="18" t="str">
        <f t="shared" si="2"/>
        <v>IE-SO</v>
      </c>
      <c r="L9" t="str">
        <f t="shared" si="3"/>
        <v>IE-SO</v>
      </c>
      <c r="M9">
        <v>372</v>
      </c>
      <c r="N9" t="s">
        <v>81</v>
      </c>
      <c r="O9" t="s">
        <v>93</v>
      </c>
      <c r="P9" s="18" t="s">
        <v>95</v>
      </c>
      <c r="T9" t="s">
        <v>149</v>
      </c>
      <c r="U9" t="s">
        <v>211</v>
      </c>
      <c r="V9" t="s">
        <v>206</v>
      </c>
      <c r="W9" t="s">
        <v>205</v>
      </c>
    </row>
    <row r="10" spans="1:29" x14ac:dyDescent="0.25">
      <c r="F10" s="18">
        <v>8</v>
      </c>
      <c r="G10" t="s">
        <v>111</v>
      </c>
      <c r="H10" t="str">
        <f t="shared" si="0"/>
        <v>IE-CW</v>
      </c>
      <c r="I10" t="str">
        <f t="shared" si="1"/>
        <v>IE-CW</v>
      </c>
      <c r="K10" s="18" t="str">
        <f t="shared" si="2"/>
        <v>IE-CW</v>
      </c>
      <c r="L10" t="str">
        <f t="shared" si="3"/>
        <v>IE-CW</v>
      </c>
      <c r="M10">
        <v>372</v>
      </c>
      <c r="N10" t="s">
        <v>81</v>
      </c>
      <c r="O10" t="s">
        <v>93</v>
      </c>
      <c r="P10" s="18" t="s">
        <v>95</v>
      </c>
      <c r="T10" t="s">
        <v>168</v>
      </c>
      <c r="U10" t="s">
        <v>212</v>
      </c>
      <c r="V10" t="s">
        <v>208</v>
      </c>
      <c r="W10" t="s">
        <v>207</v>
      </c>
    </row>
    <row r="11" spans="1:29" x14ac:dyDescent="0.25">
      <c r="F11" s="18">
        <v>9</v>
      </c>
      <c r="G11" t="s">
        <v>115</v>
      </c>
      <c r="H11" t="str">
        <f t="shared" si="0"/>
        <v>IE-D</v>
      </c>
      <c r="I11" t="str">
        <f t="shared" si="1"/>
        <v>IE-D</v>
      </c>
      <c r="K11" s="18" t="str">
        <f t="shared" si="2"/>
        <v>IE-D</v>
      </c>
      <c r="L11" t="str">
        <f t="shared" si="3"/>
        <v>IE-D</v>
      </c>
      <c r="M11">
        <v>372</v>
      </c>
      <c r="N11" t="s">
        <v>81</v>
      </c>
      <c r="O11" t="s">
        <v>93</v>
      </c>
      <c r="P11" s="18" t="s">
        <v>95</v>
      </c>
      <c r="T11" t="s">
        <v>89</v>
      </c>
      <c r="U11" t="s">
        <v>84</v>
      </c>
      <c r="V11" t="s">
        <v>96</v>
      </c>
      <c r="W11" t="s">
        <v>88</v>
      </c>
    </row>
    <row r="12" spans="1:29" x14ac:dyDescent="0.25">
      <c r="F12" s="18">
        <v>10</v>
      </c>
      <c r="G12" t="s">
        <v>118</v>
      </c>
      <c r="H12" t="str">
        <f t="shared" si="0"/>
        <v>IE-KE</v>
      </c>
      <c r="I12" t="str">
        <f t="shared" si="1"/>
        <v>IE-KE</v>
      </c>
      <c r="K12" s="18" t="str">
        <f t="shared" si="2"/>
        <v>IE-KE</v>
      </c>
      <c r="L12" t="str">
        <f t="shared" si="3"/>
        <v>IE-KE</v>
      </c>
      <c r="M12">
        <v>372</v>
      </c>
      <c r="N12" t="s">
        <v>81</v>
      </c>
      <c r="O12" t="s">
        <v>93</v>
      </c>
      <c r="P12" s="18" t="s">
        <v>95</v>
      </c>
      <c r="T12" t="s">
        <v>179</v>
      </c>
      <c r="U12" t="s">
        <v>99</v>
      </c>
      <c r="V12" t="s">
        <v>100</v>
      </c>
      <c r="W12" t="s">
        <v>98</v>
      </c>
    </row>
    <row r="13" spans="1:29" x14ac:dyDescent="0.25">
      <c r="F13" s="18">
        <v>11</v>
      </c>
      <c r="G13" t="s">
        <v>121</v>
      </c>
      <c r="H13" t="str">
        <f t="shared" si="0"/>
        <v>IE-KK</v>
      </c>
      <c r="I13" t="str">
        <f t="shared" si="1"/>
        <v>IE-KK</v>
      </c>
      <c r="K13" s="18" t="str">
        <f t="shared" si="2"/>
        <v>IE-KK</v>
      </c>
      <c r="L13" t="str">
        <f t="shared" si="3"/>
        <v>IE-KK</v>
      </c>
      <c r="M13">
        <v>372</v>
      </c>
      <c r="N13" t="s">
        <v>81</v>
      </c>
      <c r="O13" t="s">
        <v>93</v>
      </c>
      <c r="P13" s="18" t="s">
        <v>95</v>
      </c>
      <c r="T13" t="s">
        <v>67</v>
      </c>
      <c r="U13" t="s">
        <v>102</v>
      </c>
      <c r="V13" t="s">
        <v>103</v>
      </c>
      <c r="W13" t="s">
        <v>101</v>
      </c>
    </row>
    <row r="14" spans="1:29" x14ac:dyDescent="0.25">
      <c r="F14" s="18">
        <v>12</v>
      </c>
      <c r="G14" t="s">
        <v>124</v>
      </c>
      <c r="H14" t="str">
        <f t="shared" si="0"/>
        <v>IE-LD</v>
      </c>
      <c r="I14" t="str">
        <f t="shared" si="1"/>
        <v>IE-LD</v>
      </c>
      <c r="K14" s="18" t="str">
        <f t="shared" si="2"/>
        <v>IE-LD</v>
      </c>
      <c r="L14" t="str">
        <f t="shared" si="3"/>
        <v>IE-LD</v>
      </c>
      <c r="M14">
        <v>372</v>
      </c>
      <c r="N14" t="s">
        <v>81</v>
      </c>
      <c r="O14" t="s">
        <v>93</v>
      </c>
      <c r="P14" s="18" t="s">
        <v>95</v>
      </c>
      <c r="T14" t="s">
        <v>180</v>
      </c>
      <c r="U14" t="s">
        <v>105</v>
      </c>
      <c r="V14" t="s">
        <v>106</v>
      </c>
      <c r="W14" t="s">
        <v>104</v>
      </c>
    </row>
    <row r="15" spans="1:29" x14ac:dyDescent="0.25">
      <c r="F15" s="18">
        <v>13</v>
      </c>
      <c r="G15" t="s">
        <v>127</v>
      </c>
      <c r="H15" t="str">
        <f t="shared" si="0"/>
        <v>IE-LH</v>
      </c>
      <c r="I15" t="str">
        <f t="shared" si="1"/>
        <v>IE-LH</v>
      </c>
      <c r="K15" s="18" t="str">
        <f t="shared" si="2"/>
        <v>IE-LH</v>
      </c>
      <c r="L15" t="str">
        <f t="shared" si="3"/>
        <v>IE-LH</v>
      </c>
      <c r="M15">
        <v>372</v>
      </c>
      <c r="N15" t="s">
        <v>81</v>
      </c>
      <c r="O15" t="s">
        <v>93</v>
      </c>
      <c r="P15" s="18" t="s">
        <v>95</v>
      </c>
      <c r="T15" t="s">
        <v>181</v>
      </c>
      <c r="U15" t="s">
        <v>108</v>
      </c>
      <c r="V15" t="s">
        <v>109</v>
      </c>
      <c r="W15" t="s">
        <v>107</v>
      </c>
    </row>
    <row r="16" spans="1:29" x14ac:dyDescent="0.25">
      <c r="F16" s="18">
        <v>14</v>
      </c>
      <c r="G16" t="s">
        <v>130</v>
      </c>
      <c r="H16" t="str">
        <f t="shared" si="0"/>
        <v>IE-LS</v>
      </c>
      <c r="I16" t="str">
        <f t="shared" si="1"/>
        <v>IE-LS</v>
      </c>
      <c r="K16" s="18" t="str">
        <f t="shared" si="2"/>
        <v>IE-LS</v>
      </c>
      <c r="L16" t="str">
        <f t="shared" si="3"/>
        <v>IE-LS</v>
      </c>
      <c r="M16">
        <v>372</v>
      </c>
      <c r="N16" t="s">
        <v>81</v>
      </c>
      <c r="O16" t="s">
        <v>93</v>
      </c>
      <c r="P16" s="18" t="s">
        <v>95</v>
      </c>
      <c r="T16" t="s">
        <v>182</v>
      </c>
      <c r="U16" t="s">
        <v>111</v>
      </c>
      <c r="V16" t="s">
        <v>112</v>
      </c>
      <c r="W16" t="s">
        <v>110</v>
      </c>
    </row>
    <row r="17" spans="6:23" x14ac:dyDescent="0.25">
      <c r="F17" s="18">
        <v>15</v>
      </c>
      <c r="G17" t="s">
        <v>132</v>
      </c>
      <c r="H17" t="str">
        <f t="shared" si="0"/>
        <v>IE-MH</v>
      </c>
      <c r="I17" t="str">
        <f t="shared" si="1"/>
        <v>IE-MH</v>
      </c>
      <c r="K17" s="18" t="str">
        <f t="shared" si="2"/>
        <v>IE-MH</v>
      </c>
      <c r="L17" t="str">
        <f t="shared" si="3"/>
        <v>IE-MH</v>
      </c>
      <c r="M17">
        <v>372</v>
      </c>
      <c r="N17" t="s">
        <v>81</v>
      </c>
      <c r="O17" t="s">
        <v>93</v>
      </c>
      <c r="P17" s="18" t="s">
        <v>95</v>
      </c>
      <c r="T17" t="s">
        <v>183</v>
      </c>
      <c r="U17" t="s">
        <v>115</v>
      </c>
      <c r="V17" t="s">
        <v>116</v>
      </c>
      <c r="W17" t="s">
        <v>114</v>
      </c>
    </row>
    <row r="18" spans="6:23" x14ac:dyDescent="0.25">
      <c r="F18" s="18">
        <v>16</v>
      </c>
      <c r="G18" t="s">
        <v>135</v>
      </c>
      <c r="H18" t="str">
        <f t="shared" si="0"/>
        <v>IE-OY</v>
      </c>
      <c r="I18" t="str">
        <f t="shared" si="1"/>
        <v>IE-OY</v>
      </c>
      <c r="K18" s="18" t="str">
        <f t="shared" si="2"/>
        <v>IE-OY</v>
      </c>
      <c r="L18" t="str">
        <f t="shared" si="3"/>
        <v>IE-OY</v>
      </c>
      <c r="M18">
        <v>372</v>
      </c>
      <c r="N18" t="s">
        <v>81</v>
      </c>
      <c r="O18" t="s">
        <v>93</v>
      </c>
      <c r="P18" s="18" t="s">
        <v>95</v>
      </c>
      <c r="T18" t="s">
        <v>184</v>
      </c>
      <c r="U18" t="s">
        <v>118</v>
      </c>
      <c r="V18" t="s">
        <v>119</v>
      </c>
      <c r="W18" t="s">
        <v>117</v>
      </c>
    </row>
    <row r="19" spans="6:23" x14ac:dyDescent="0.25">
      <c r="F19" s="18">
        <v>17</v>
      </c>
      <c r="G19" t="s">
        <v>138</v>
      </c>
      <c r="H19" t="str">
        <f t="shared" si="0"/>
        <v>IE-WH</v>
      </c>
      <c r="I19" t="str">
        <f t="shared" si="1"/>
        <v>IE-WH</v>
      </c>
      <c r="K19" s="18" t="str">
        <f t="shared" si="2"/>
        <v>IE-WH</v>
      </c>
      <c r="L19" t="str">
        <f t="shared" si="3"/>
        <v>IE-WH</v>
      </c>
      <c r="M19">
        <v>372</v>
      </c>
      <c r="N19" t="s">
        <v>81</v>
      </c>
      <c r="O19" t="s">
        <v>93</v>
      </c>
      <c r="P19" s="18" t="s">
        <v>95</v>
      </c>
      <c r="T19" t="s">
        <v>185</v>
      </c>
      <c r="U19" t="s">
        <v>121</v>
      </c>
      <c r="V19" t="s">
        <v>122</v>
      </c>
      <c r="W19" t="s">
        <v>120</v>
      </c>
    </row>
    <row r="20" spans="6:23" x14ac:dyDescent="0.25">
      <c r="F20" s="18">
        <v>18</v>
      </c>
      <c r="G20" t="s">
        <v>141</v>
      </c>
      <c r="H20" t="str">
        <f t="shared" si="0"/>
        <v>IE-WW</v>
      </c>
      <c r="I20" t="str">
        <f t="shared" si="1"/>
        <v>IE-WW</v>
      </c>
      <c r="K20" s="18" t="str">
        <f t="shared" si="2"/>
        <v>IE-WW</v>
      </c>
      <c r="L20" t="str">
        <f t="shared" si="3"/>
        <v>IE-WW</v>
      </c>
      <c r="M20">
        <v>372</v>
      </c>
      <c r="N20" t="s">
        <v>81</v>
      </c>
      <c r="O20" t="s">
        <v>93</v>
      </c>
      <c r="P20" s="18" t="s">
        <v>95</v>
      </c>
      <c r="T20" t="s">
        <v>186</v>
      </c>
      <c r="U20" t="s">
        <v>124</v>
      </c>
      <c r="V20" t="s">
        <v>125</v>
      </c>
      <c r="W20" t="s">
        <v>123</v>
      </c>
    </row>
    <row r="21" spans="6:23" x14ac:dyDescent="0.25">
      <c r="F21" s="18">
        <v>19</v>
      </c>
      <c r="G21" t="s">
        <v>144</v>
      </c>
      <c r="H21" t="str">
        <f t="shared" si="0"/>
        <v>IE-WX</v>
      </c>
      <c r="I21" t="str">
        <f t="shared" si="1"/>
        <v>IE-WX</v>
      </c>
      <c r="K21" s="18" t="str">
        <f t="shared" si="2"/>
        <v>IE-WX</v>
      </c>
      <c r="L21" t="str">
        <f t="shared" si="3"/>
        <v>IE-WX</v>
      </c>
      <c r="M21">
        <v>372</v>
      </c>
      <c r="N21" t="s">
        <v>81</v>
      </c>
      <c r="O21" t="s">
        <v>93</v>
      </c>
      <c r="P21" s="18" t="s">
        <v>95</v>
      </c>
      <c r="T21" t="s">
        <v>187</v>
      </c>
      <c r="U21" t="s">
        <v>127</v>
      </c>
      <c r="V21" t="s">
        <v>128</v>
      </c>
      <c r="W21" t="s">
        <v>126</v>
      </c>
    </row>
    <row r="22" spans="6:23" x14ac:dyDescent="0.25">
      <c r="F22" s="18">
        <v>20</v>
      </c>
      <c r="G22" t="s">
        <v>147</v>
      </c>
      <c r="H22" t="str">
        <f t="shared" si="0"/>
        <v>IE-CE</v>
      </c>
      <c r="I22" t="str">
        <f t="shared" si="1"/>
        <v>IE-CE</v>
      </c>
      <c r="K22" s="18" t="str">
        <f t="shared" si="2"/>
        <v>IE-CE</v>
      </c>
      <c r="L22" t="str">
        <f t="shared" si="3"/>
        <v>IE-CE</v>
      </c>
      <c r="M22">
        <v>372</v>
      </c>
      <c r="N22" t="s">
        <v>81</v>
      </c>
      <c r="O22" t="s">
        <v>93</v>
      </c>
      <c r="P22" s="18" t="s">
        <v>95</v>
      </c>
      <c r="T22" t="s">
        <v>188</v>
      </c>
      <c r="U22" t="s">
        <v>130</v>
      </c>
      <c r="V22" t="s">
        <v>130</v>
      </c>
      <c r="W22" t="s">
        <v>129</v>
      </c>
    </row>
    <row r="23" spans="6:23" x14ac:dyDescent="0.25">
      <c r="F23" s="18">
        <v>21</v>
      </c>
      <c r="G23" t="s">
        <v>151</v>
      </c>
      <c r="H23" t="str">
        <f t="shared" si="0"/>
        <v>IE-CO</v>
      </c>
      <c r="I23" t="str">
        <f t="shared" si="1"/>
        <v>IE-CO</v>
      </c>
      <c r="K23" s="18" t="str">
        <f t="shared" si="2"/>
        <v>IE-CO</v>
      </c>
      <c r="L23" t="str">
        <f t="shared" si="3"/>
        <v>IE-CO</v>
      </c>
      <c r="M23">
        <v>372</v>
      </c>
      <c r="N23" t="s">
        <v>81</v>
      </c>
      <c r="O23" t="s">
        <v>93</v>
      </c>
      <c r="P23" s="18" t="s">
        <v>95</v>
      </c>
      <c r="T23" t="s">
        <v>189</v>
      </c>
      <c r="U23" t="s">
        <v>132</v>
      </c>
      <c r="V23" t="s">
        <v>133</v>
      </c>
      <c r="W23" t="s">
        <v>131</v>
      </c>
    </row>
    <row r="24" spans="6:23" x14ac:dyDescent="0.25">
      <c r="F24" s="18">
        <v>22</v>
      </c>
      <c r="G24" t="s">
        <v>154</v>
      </c>
      <c r="H24" t="str">
        <f t="shared" si="0"/>
        <v>IE-KY</v>
      </c>
      <c r="I24" t="str">
        <f t="shared" si="1"/>
        <v>IE-KY</v>
      </c>
      <c r="K24" s="18" t="str">
        <f t="shared" si="2"/>
        <v>IE-KY</v>
      </c>
      <c r="L24" t="str">
        <f t="shared" si="3"/>
        <v>IE-KY</v>
      </c>
      <c r="M24">
        <v>372</v>
      </c>
      <c r="N24" t="s">
        <v>81</v>
      </c>
      <c r="O24" t="s">
        <v>93</v>
      </c>
      <c r="P24" s="18" t="s">
        <v>95</v>
      </c>
      <c r="T24" t="s">
        <v>190</v>
      </c>
      <c r="U24" t="s">
        <v>135</v>
      </c>
      <c r="V24" t="s">
        <v>136</v>
      </c>
      <c r="W24" t="s">
        <v>134</v>
      </c>
    </row>
    <row r="25" spans="6:23" x14ac:dyDescent="0.25">
      <c r="F25" s="18">
        <v>23</v>
      </c>
      <c r="G25" t="s">
        <v>157</v>
      </c>
      <c r="H25" t="str">
        <f t="shared" si="0"/>
        <v>IE-LK</v>
      </c>
      <c r="I25" t="str">
        <f t="shared" si="1"/>
        <v>IE-LK</v>
      </c>
      <c r="K25" s="18" t="str">
        <f t="shared" si="2"/>
        <v>IE-LK</v>
      </c>
      <c r="L25" t="str">
        <f t="shared" si="3"/>
        <v>IE-LK</v>
      </c>
      <c r="M25">
        <v>372</v>
      </c>
      <c r="N25" t="s">
        <v>81</v>
      </c>
      <c r="O25" t="s">
        <v>93</v>
      </c>
      <c r="P25" s="18" t="s">
        <v>95</v>
      </c>
      <c r="T25" t="s">
        <v>191</v>
      </c>
      <c r="U25" t="s">
        <v>138</v>
      </c>
      <c r="V25" t="s">
        <v>139</v>
      </c>
      <c r="W25" t="s">
        <v>137</v>
      </c>
    </row>
    <row r="26" spans="6:23" x14ac:dyDescent="0.25">
      <c r="F26" s="18">
        <v>24</v>
      </c>
      <c r="G26" t="s">
        <v>160</v>
      </c>
      <c r="H26" t="str">
        <f t="shared" si="0"/>
        <v>IE-TA</v>
      </c>
      <c r="I26" t="str">
        <f t="shared" si="1"/>
        <v>IE-TA</v>
      </c>
      <c r="K26" s="18" t="str">
        <f t="shared" si="2"/>
        <v>IE-TA</v>
      </c>
      <c r="L26" t="str">
        <f t="shared" si="3"/>
        <v>IE-TA</v>
      </c>
      <c r="M26">
        <v>372</v>
      </c>
      <c r="N26" t="s">
        <v>81</v>
      </c>
      <c r="O26" t="s">
        <v>93</v>
      </c>
      <c r="P26" s="18" t="s">
        <v>95</v>
      </c>
      <c r="T26" t="s">
        <v>192</v>
      </c>
      <c r="U26" t="s">
        <v>141</v>
      </c>
      <c r="V26" t="s">
        <v>142</v>
      </c>
      <c r="W26" t="s">
        <v>140</v>
      </c>
    </row>
    <row r="27" spans="6:23" x14ac:dyDescent="0.25">
      <c r="F27" s="18">
        <v>25</v>
      </c>
      <c r="G27" t="s">
        <v>163</v>
      </c>
      <c r="H27" t="str">
        <f t="shared" si="0"/>
        <v>IE-WD</v>
      </c>
      <c r="I27" t="str">
        <f t="shared" si="1"/>
        <v>IE-WD</v>
      </c>
      <c r="K27" s="18" t="str">
        <f t="shared" si="2"/>
        <v>IE-WD</v>
      </c>
      <c r="L27" t="str">
        <f t="shared" si="3"/>
        <v>IE-WD</v>
      </c>
      <c r="M27">
        <v>372</v>
      </c>
      <c r="N27" t="s">
        <v>81</v>
      </c>
      <c r="O27" t="s">
        <v>93</v>
      </c>
      <c r="P27" s="18" t="s">
        <v>95</v>
      </c>
      <c r="T27" t="s">
        <v>193</v>
      </c>
      <c r="U27" t="s">
        <v>144</v>
      </c>
      <c r="V27" t="s">
        <v>145</v>
      </c>
      <c r="W27" t="s">
        <v>143</v>
      </c>
    </row>
    <row r="28" spans="6:23" x14ac:dyDescent="0.25">
      <c r="F28" s="18">
        <v>26</v>
      </c>
      <c r="G28" t="s">
        <v>166</v>
      </c>
      <c r="H28" t="str">
        <f t="shared" si="0"/>
        <v>IE-CN</v>
      </c>
      <c r="I28" t="str">
        <f t="shared" si="1"/>
        <v>IE-CN</v>
      </c>
      <c r="K28" s="18" t="str">
        <f t="shared" si="2"/>
        <v>IE-CN</v>
      </c>
      <c r="L28" t="str">
        <f t="shared" si="3"/>
        <v>IE-CN</v>
      </c>
      <c r="M28">
        <v>372</v>
      </c>
      <c r="N28" t="s">
        <v>81</v>
      </c>
      <c r="O28" t="s">
        <v>93</v>
      </c>
      <c r="P28" s="18" t="s">
        <v>95</v>
      </c>
      <c r="T28" t="s">
        <v>194</v>
      </c>
      <c r="U28" t="s">
        <v>147</v>
      </c>
      <c r="V28" t="s">
        <v>148</v>
      </c>
      <c r="W28" t="s">
        <v>146</v>
      </c>
    </row>
    <row r="29" spans="6:23" x14ac:dyDescent="0.25">
      <c r="F29" s="18">
        <v>27</v>
      </c>
      <c r="G29" t="s">
        <v>170</v>
      </c>
      <c r="H29" t="str">
        <f t="shared" si="0"/>
        <v>IE-DL</v>
      </c>
      <c r="I29" t="str">
        <f t="shared" si="1"/>
        <v>IE-DL</v>
      </c>
      <c r="K29" s="18" t="str">
        <f t="shared" si="2"/>
        <v>IE-DL</v>
      </c>
      <c r="L29" t="str">
        <f t="shared" si="3"/>
        <v>IE-DL</v>
      </c>
      <c r="M29">
        <v>372</v>
      </c>
      <c r="N29" t="s">
        <v>81</v>
      </c>
      <c r="O29" t="s">
        <v>93</v>
      </c>
      <c r="P29" s="18" t="s">
        <v>95</v>
      </c>
      <c r="T29" t="s">
        <v>64</v>
      </c>
      <c r="U29" t="s">
        <v>151</v>
      </c>
      <c r="V29" t="s">
        <v>152</v>
      </c>
      <c r="W29" t="s">
        <v>150</v>
      </c>
    </row>
    <row r="30" spans="6:23" x14ac:dyDescent="0.25">
      <c r="F30" s="18">
        <v>28</v>
      </c>
      <c r="G30" t="s">
        <v>173</v>
      </c>
      <c r="H30" t="str">
        <f t="shared" si="0"/>
        <v>IE-MN</v>
      </c>
      <c r="I30" t="str">
        <f t="shared" si="1"/>
        <v>IE-MN</v>
      </c>
      <c r="K30" s="18" t="str">
        <f t="shared" si="2"/>
        <v>IE-MN</v>
      </c>
      <c r="L30" t="str">
        <f t="shared" si="3"/>
        <v>IE-MN</v>
      </c>
      <c r="M30">
        <v>372</v>
      </c>
      <c r="N30" t="s">
        <v>81</v>
      </c>
      <c r="O30" t="s">
        <v>93</v>
      </c>
      <c r="P30" s="18" t="s">
        <v>95</v>
      </c>
      <c r="T30" t="s">
        <v>65</v>
      </c>
      <c r="U30" t="s">
        <v>154</v>
      </c>
      <c r="V30" t="s">
        <v>155</v>
      </c>
      <c r="W30" t="s">
        <v>153</v>
      </c>
    </row>
    <row r="31" spans="6:23" x14ac:dyDescent="0.25">
      <c r="T31" t="s">
        <v>195</v>
      </c>
      <c r="U31" t="s">
        <v>157</v>
      </c>
      <c r="V31" t="s">
        <v>158</v>
      </c>
      <c r="W31" t="s">
        <v>156</v>
      </c>
    </row>
    <row r="32" spans="6:23" x14ac:dyDescent="0.25">
      <c r="T32" t="s">
        <v>196</v>
      </c>
      <c r="U32" t="s">
        <v>160</v>
      </c>
      <c r="V32" t="s">
        <v>161</v>
      </c>
      <c r="W32" t="s">
        <v>159</v>
      </c>
    </row>
    <row r="33" spans="6:23" x14ac:dyDescent="0.25">
      <c r="F33" s="18"/>
      <c r="P33" s="18"/>
      <c r="T33" t="s">
        <v>197</v>
      </c>
      <c r="U33" t="s">
        <v>163</v>
      </c>
      <c r="V33" t="s">
        <v>164</v>
      </c>
      <c r="W33" t="s">
        <v>162</v>
      </c>
    </row>
    <row r="34" spans="6:23" x14ac:dyDescent="0.25">
      <c r="F34" s="18"/>
      <c r="P34" s="18"/>
      <c r="T34" t="s">
        <v>198</v>
      </c>
      <c r="U34" t="s">
        <v>166</v>
      </c>
      <c r="V34" t="s">
        <v>167</v>
      </c>
      <c r="W34" t="s">
        <v>165</v>
      </c>
    </row>
    <row r="35" spans="6:23" x14ac:dyDescent="0.25">
      <c r="F35" s="18"/>
      <c r="P35" s="18"/>
      <c r="T35" t="s">
        <v>199</v>
      </c>
      <c r="U35" t="s">
        <v>170</v>
      </c>
      <c r="V35" t="s">
        <v>171</v>
      </c>
      <c r="W35" t="s">
        <v>169</v>
      </c>
    </row>
    <row r="36" spans="6:23" x14ac:dyDescent="0.25">
      <c r="F36" s="18"/>
      <c r="P36" s="18"/>
      <c r="T36" t="s">
        <v>66</v>
      </c>
      <c r="U36" t="s">
        <v>173</v>
      </c>
      <c r="V36" t="s">
        <v>174</v>
      </c>
      <c r="W36" t="s">
        <v>172</v>
      </c>
    </row>
    <row r="37" spans="6:23" x14ac:dyDescent="0.25">
      <c r="F37" s="18"/>
      <c r="P37" s="18"/>
    </row>
    <row r="38" spans="6:23" x14ac:dyDescent="0.25">
      <c r="F38" s="18"/>
      <c r="P38" s="18"/>
    </row>
    <row r="39" spans="6:23" x14ac:dyDescent="0.25">
      <c r="F39" s="18"/>
      <c r="P39" s="18"/>
    </row>
    <row r="40" spans="6:23" x14ac:dyDescent="0.25">
      <c r="F40" s="18"/>
      <c r="P40" s="18"/>
    </row>
    <row r="41" spans="6:23" x14ac:dyDescent="0.25">
      <c r="F41" s="18"/>
      <c r="P41" s="18"/>
    </row>
    <row r="42" spans="6:23" x14ac:dyDescent="0.25">
      <c r="F42" s="18"/>
      <c r="P42" s="18"/>
    </row>
    <row r="43" spans="6:23" x14ac:dyDescent="0.25">
      <c r="F43" s="18"/>
      <c r="P43" s="18"/>
    </row>
    <row r="44" spans="6:23" x14ac:dyDescent="0.25">
      <c r="F44" s="18"/>
      <c r="P44" s="18"/>
    </row>
    <row r="45" spans="6:23" x14ac:dyDescent="0.25">
      <c r="F45" s="18"/>
      <c r="P45" s="18"/>
    </row>
    <row r="46" spans="6:23" x14ac:dyDescent="0.25">
      <c r="F46" s="18"/>
      <c r="P46" s="18"/>
    </row>
    <row r="47" spans="6:23" x14ac:dyDescent="0.25">
      <c r="F47" s="18"/>
      <c r="P47" s="18"/>
    </row>
    <row r="48" spans="6:23" x14ac:dyDescent="0.25">
      <c r="F48" s="18"/>
      <c r="P48" s="18"/>
    </row>
    <row r="49" spans="6:24" x14ac:dyDescent="0.25">
      <c r="F49" s="18"/>
      <c r="P49" s="18"/>
    </row>
    <row r="50" spans="6:24" x14ac:dyDescent="0.25">
      <c r="F50" s="18"/>
      <c r="P50" s="18"/>
    </row>
    <row r="51" spans="6:24" x14ac:dyDescent="0.25">
      <c r="F51" s="18"/>
      <c r="P51" s="18"/>
    </row>
    <row r="52" spans="6:24" x14ac:dyDescent="0.25">
      <c r="F52" s="18"/>
      <c r="P52" s="18"/>
    </row>
    <row r="53" spans="6:24" x14ac:dyDescent="0.25">
      <c r="F53" s="18"/>
      <c r="P53" s="18"/>
    </row>
    <row r="63" spans="6:24" x14ac:dyDescent="0.25">
      <c r="X63" t="s">
        <v>97</v>
      </c>
    </row>
    <row r="64" spans="6:24" x14ac:dyDescent="0.25">
      <c r="X64" t="s">
        <v>97</v>
      </c>
    </row>
    <row r="65" spans="24:24" x14ac:dyDescent="0.25">
      <c r="X65" t="s">
        <v>97</v>
      </c>
    </row>
    <row r="66" spans="24:24" x14ac:dyDescent="0.25">
      <c r="X66" t="s">
        <v>97</v>
      </c>
    </row>
    <row r="67" spans="24:24" x14ac:dyDescent="0.25">
      <c r="X67" t="s">
        <v>97</v>
      </c>
    </row>
    <row r="68" spans="24:24" x14ac:dyDescent="0.25">
      <c r="X68" t="s">
        <v>113</v>
      </c>
    </row>
    <row r="69" spans="24:24" x14ac:dyDescent="0.25">
      <c r="X69" t="s">
        <v>113</v>
      </c>
    </row>
    <row r="70" spans="24:24" x14ac:dyDescent="0.25">
      <c r="X70" t="s">
        <v>113</v>
      </c>
    </row>
    <row r="71" spans="24:24" x14ac:dyDescent="0.25">
      <c r="X71" t="s">
        <v>113</v>
      </c>
    </row>
    <row r="72" spans="24:24" x14ac:dyDescent="0.25">
      <c r="X72" t="s">
        <v>113</v>
      </c>
    </row>
    <row r="73" spans="24:24" x14ac:dyDescent="0.25">
      <c r="X73" t="s">
        <v>113</v>
      </c>
    </row>
    <row r="74" spans="24:24" x14ac:dyDescent="0.25">
      <c r="X74" t="s">
        <v>113</v>
      </c>
    </row>
    <row r="75" spans="24:24" x14ac:dyDescent="0.25">
      <c r="X75" t="s">
        <v>113</v>
      </c>
    </row>
    <row r="76" spans="24:24" x14ac:dyDescent="0.25">
      <c r="X76" t="s">
        <v>113</v>
      </c>
    </row>
    <row r="77" spans="24:24" x14ac:dyDescent="0.25">
      <c r="X77" t="s">
        <v>113</v>
      </c>
    </row>
    <row r="78" spans="24:24" x14ac:dyDescent="0.25">
      <c r="X78" t="s">
        <v>113</v>
      </c>
    </row>
    <row r="79" spans="24:24" x14ac:dyDescent="0.25">
      <c r="X79" t="s">
        <v>113</v>
      </c>
    </row>
    <row r="80" spans="24:24" x14ac:dyDescent="0.25">
      <c r="X80" t="s">
        <v>149</v>
      </c>
    </row>
    <row r="81" spans="24:24" x14ac:dyDescent="0.25">
      <c r="X81" t="s">
        <v>149</v>
      </c>
    </row>
    <row r="82" spans="24:24" x14ac:dyDescent="0.25">
      <c r="X82" t="s">
        <v>149</v>
      </c>
    </row>
    <row r="83" spans="24:24" x14ac:dyDescent="0.25">
      <c r="X83" t="s">
        <v>149</v>
      </c>
    </row>
    <row r="84" spans="24:24" x14ac:dyDescent="0.25">
      <c r="X84" t="s">
        <v>149</v>
      </c>
    </row>
    <row r="85" spans="24:24" x14ac:dyDescent="0.25">
      <c r="X85" t="s">
        <v>149</v>
      </c>
    </row>
    <row r="86" spans="24:24" x14ac:dyDescent="0.25">
      <c r="X86" t="s">
        <v>168</v>
      </c>
    </row>
    <row r="87" spans="24:24" x14ac:dyDescent="0.25">
      <c r="X87" t="s">
        <v>168</v>
      </c>
    </row>
    <row r="88" spans="24:24" x14ac:dyDescent="0.25">
      <c r="X88" t="s">
        <v>168</v>
      </c>
    </row>
  </sheetData>
  <phoneticPr fontId="17" type="noConversion"/>
  <hyperlinks>
    <hyperlink ref="S2" r:id="rId1" location=":~:text=ISO%203166%2D2%3AIE%20is,coded%20in%20ISO%203166%2D1." xr:uid="{8F23AB4E-58B6-4558-A8D5-4434BDF9B2EE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D81C-09B5-44A7-B07D-9E155CE9E994}">
  <sheetPr codeName="Sheet2"/>
  <dimension ref="A1:X80"/>
  <sheetViews>
    <sheetView tabSelected="1" topLeftCell="C1" zoomScaleNormal="100" workbookViewId="0">
      <selection activeCell="M9" sqref="M9"/>
    </sheetView>
  </sheetViews>
  <sheetFormatPr defaultRowHeight="15" x14ac:dyDescent="0.25"/>
  <cols>
    <col min="1" max="1" width="10.140625" style="3" bestFit="1" customWidth="1"/>
    <col min="2" max="2" width="9.7109375" style="3" bestFit="1" customWidth="1"/>
    <col min="3" max="3" width="12.5703125" style="3" bestFit="1" customWidth="1"/>
    <col min="4" max="4" width="16" bestFit="1" customWidth="1"/>
    <col min="5" max="5" width="9.7109375" bestFit="1" customWidth="1"/>
    <col min="6" max="11" width="12.5703125" bestFit="1" customWidth="1"/>
    <col min="12" max="13" width="12.5703125" customWidth="1"/>
    <col min="14" max="16" width="13.7109375" bestFit="1" customWidth="1"/>
    <col min="17" max="19" width="16.140625" bestFit="1" customWidth="1"/>
    <col min="20" max="21" width="15.140625" bestFit="1" customWidth="1"/>
    <col min="22" max="24" width="12.5703125" bestFit="1" customWidth="1"/>
  </cols>
  <sheetData>
    <row r="1" spans="1:24" x14ac:dyDescent="0.25">
      <c r="A1" s="28" t="s">
        <v>11</v>
      </c>
      <c r="B1" s="4"/>
      <c r="C1" s="4"/>
      <c r="D1" s="28" t="s">
        <v>72</v>
      </c>
      <c r="E1" s="4"/>
      <c r="F1" s="4"/>
    </row>
    <row r="2" spans="1:24" x14ac:dyDescent="0.25">
      <c r="A2" s="3">
        <v>2024</v>
      </c>
      <c r="D2" s="22" t="s">
        <v>73</v>
      </c>
      <c r="E2" s="22" t="s">
        <v>217</v>
      </c>
      <c r="F2" s="22" t="s">
        <v>220</v>
      </c>
      <c r="G2" s="22" t="s">
        <v>228</v>
      </c>
      <c r="H2" s="22" t="s">
        <v>229</v>
      </c>
      <c r="I2" s="22" t="s">
        <v>230</v>
      </c>
      <c r="J2" s="22" t="s">
        <v>218</v>
      </c>
      <c r="K2" s="22" t="s">
        <v>227</v>
      </c>
      <c r="L2" s="22" t="s">
        <v>237</v>
      </c>
      <c r="M2" s="22" t="s">
        <v>238</v>
      </c>
      <c r="N2" s="22" t="s">
        <v>236</v>
      </c>
      <c r="O2" s="22" t="s">
        <v>221</v>
      </c>
      <c r="P2" s="22" t="s">
        <v>219</v>
      </c>
      <c r="Q2" s="22" t="s">
        <v>231</v>
      </c>
      <c r="R2" s="22" t="s">
        <v>232</v>
      </c>
      <c r="S2" s="22" t="s">
        <v>233</v>
      </c>
      <c r="T2" s="22" t="s">
        <v>234</v>
      </c>
      <c r="U2" s="22" t="s">
        <v>235</v>
      </c>
      <c r="V2" s="22" t="s">
        <v>222</v>
      </c>
      <c r="W2" s="22" t="s">
        <v>223</v>
      </c>
      <c r="X2" s="22" t="s">
        <v>224</v>
      </c>
    </row>
    <row r="3" spans="1:24" x14ac:dyDescent="0.25">
      <c r="D3" t="s">
        <v>74</v>
      </c>
      <c r="E3" s="3"/>
      <c r="F3" s="3"/>
      <c r="J3" s="3"/>
    </row>
    <row r="4" spans="1:24" x14ac:dyDescent="0.25">
      <c r="D4" t="s">
        <v>75</v>
      </c>
      <c r="E4" s="3">
        <v>2024</v>
      </c>
      <c r="F4" s="3">
        <v>2024</v>
      </c>
      <c r="G4" s="3">
        <v>2024</v>
      </c>
      <c r="H4" s="3">
        <v>2024</v>
      </c>
      <c r="I4" s="3">
        <v>2024</v>
      </c>
      <c r="J4" s="3">
        <v>2024</v>
      </c>
      <c r="K4">
        <v>2024</v>
      </c>
      <c r="L4">
        <v>2024</v>
      </c>
      <c r="M4">
        <v>2024</v>
      </c>
      <c r="N4">
        <v>2024</v>
      </c>
      <c r="O4">
        <v>2024</v>
      </c>
      <c r="P4">
        <v>2024</v>
      </c>
      <c r="Q4">
        <v>2024</v>
      </c>
      <c r="R4">
        <v>2024</v>
      </c>
      <c r="S4">
        <v>2024</v>
      </c>
      <c r="T4">
        <v>2024</v>
      </c>
      <c r="U4">
        <v>2024</v>
      </c>
      <c r="V4">
        <v>2024</v>
      </c>
      <c r="W4">
        <v>2024</v>
      </c>
      <c r="X4">
        <v>2024</v>
      </c>
    </row>
    <row r="5" spans="1:24" x14ac:dyDescent="0.25">
      <c r="D5" t="s">
        <v>75</v>
      </c>
      <c r="E5" s="3"/>
      <c r="F5" s="3">
        <v>2025</v>
      </c>
      <c r="G5" s="3">
        <v>2025</v>
      </c>
      <c r="H5" s="3">
        <v>2025</v>
      </c>
      <c r="I5" s="3">
        <v>2025</v>
      </c>
      <c r="J5" s="3">
        <v>2025</v>
      </c>
      <c r="K5">
        <v>2025</v>
      </c>
      <c r="L5">
        <v>2025</v>
      </c>
      <c r="M5">
        <v>2025</v>
      </c>
      <c r="N5">
        <v>2025</v>
      </c>
      <c r="O5">
        <v>2025</v>
      </c>
      <c r="P5">
        <v>2025</v>
      </c>
      <c r="Q5">
        <v>2025</v>
      </c>
      <c r="R5">
        <v>2025</v>
      </c>
      <c r="S5">
        <v>2025</v>
      </c>
      <c r="T5">
        <v>2025</v>
      </c>
      <c r="U5">
        <v>2025</v>
      </c>
      <c r="V5">
        <v>2025</v>
      </c>
      <c r="W5">
        <v>2025</v>
      </c>
      <c r="X5">
        <v>2025</v>
      </c>
    </row>
    <row r="6" spans="1:24" x14ac:dyDescent="0.25">
      <c r="D6" t="s">
        <v>75</v>
      </c>
      <c r="E6" s="3"/>
      <c r="F6" s="3"/>
      <c r="G6">
        <v>2030</v>
      </c>
      <c r="H6">
        <v>2050</v>
      </c>
      <c r="I6">
        <v>2030</v>
      </c>
      <c r="J6" s="3">
        <v>2030</v>
      </c>
      <c r="K6">
        <v>2030</v>
      </c>
      <c r="L6">
        <v>2030</v>
      </c>
      <c r="M6">
        <v>2030</v>
      </c>
      <c r="N6">
        <v>2030</v>
      </c>
      <c r="O6">
        <v>2030</v>
      </c>
      <c r="P6">
        <v>2030</v>
      </c>
      <c r="Q6">
        <f>Q5+25</f>
        <v>2050</v>
      </c>
      <c r="R6">
        <f>R5+20</f>
        <v>2045</v>
      </c>
      <c r="S6">
        <f>S5+10</f>
        <v>2035</v>
      </c>
      <c r="T6">
        <f>T5+5</f>
        <v>2030</v>
      </c>
      <c r="U6">
        <f>U5+4</f>
        <v>2029</v>
      </c>
      <c r="V6">
        <v>2026</v>
      </c>
      <c r="W6">
        <v>2026</v>
      </c>
      <c r="X6">
        <v>2026</v>
      </c>
    </row>
    <row r="7" spans="1:24" x14ac:dyDescent="0.25">
      <c r="D7" t="s">
        <v>75</v>
      </c>
      <c r="E7" s="3"/>
      <c r="F7" s="3"/>
      <c r="I7">
        <v>2050</v>
      </c>
      <c r="J7" s="3">
        <v>2035</v>
      </c>
      <c r="K7">
        <v>2035</v>
      </c>
      <c r="L7">
        <v>2035</v>
      </c>
      <c r="M7">
        <v>2035</v>
      </c>
      <c r="N7">
        <v>2040</v>
      </c>
      <c r="O7">
        <v>2035</v>
      </c>
      <c r="P7">
        <v>2035</v>
      </c>
      <c r="Q7">
        <f t="shared" ref="Q7:Q8" si="0">Q6+25</f>
        <v>2075</v>
      </c>
      <c r="R7">
        <f t="shared" ref="R7" si="1">R6+20</f>
        <v>2065</v>
      </c>
      <c r="S7">
        <f t="shared" ref="S7:S9" si="2">S6+10</f>
        <v>2045</v>
      </c>
      <c r="T7">
        <f t="shared" ref="T7:T17" si="3">T6+5</f>
        <v>2035</v>
      </c>
      <c r="U7">
        <f t="shared" ref="U7:U23" si="4">U6+4</f>
        <v>2033</v>
      </c>
      <c r="V7">
        <v>2027</v>
      </c>
      <c r="W7">
        <v>2027</v>
      </c>
      <c r="X7">
        <v>2027</v>
      </c>
    </row>
    <row r="8" spans="1:24" x14ac:dyDescent="0.25">
      <c r="D8" t="s">
        <v>75</v>
      </c>
      <c r="E8" s="3"/>
      <c r="F8" s="3"/>
      <c r="J8" s="3">
        <v>2050</v>
      </c>
      <c r="K8">
        <v>2050</v>
      </c>
      <c r="L8">
        <v>2050</v>
      </c>
      <c r="M8">
        <v>2040</v>
      </c>
      <c r="N8">
        <v>2050</v>
      </c>
      <c r="O8">
        <v>2040</v>
      </c>
      <c r="P8">
        <v>2040</v>
      </c>
      <c r="Q8">
        <f t="shared" si="0"/>
        <v>2100</v>
      </c>
      <c r="R8">
        <v>2085</v>
      </c>
      <c r="S8">
        <f t="shared" si="2"/>
        <v>2055</v>
      </c>
      <c r="T8">
        <f t="shared" si="3"/>
        <v>2040</v>
      </c>
      <c r="U8">
        <f t="shared" si="4"/>
        <v>2037</v>
      </c>
      <c r="V8">
        <v>2028</v>
      </c>
      <c r="W8">
        <v>2028</v>
      </c>
      <c r="X8">
        <v>2028</v>
      </c>
    </row>
    <row r="9" spans="1:24" x14ac:dyDescent="0.25">
      <c r="D9" t="s">
        <v>75</v>
      </c>
      <c r="E9" s="3"/>
      <c r="F9" s="3"/>
      <c r="K9">
        <v>2065</v>
      </c>
      <c r="L9">
        <v>2100</v>
      </c>
      <c r="M9">
        <v>2050</v>
      </c>
      <c r="N9">
        <v>2060</v>
      </c>
      <c r="O9">
        <v>2050</v>
      </c>
      <c r="P9">
        <v>2045</v>
      </c>
      <c r="R9">
        <v>2100</v>
      </c>
      <c r="S9">
        <f t="shared" si="2"/>
        <v>2065</v>
      </c>
      <c r="T9">
        <f t="shared" si="3"/>
        <v>2045</v>
      </c>
      <c r="U9">
        <f t="shared" si="4"/>
        <v>2041</v>
      </c>
      <c r="V9">
        <v>2029</v>
      </c>
      <c r="W9">
        <v>2029</v>
      </c>
      <c r="X9">
        <v>2029</v>
      </c>
    </row>
    <row r="10" spans="1:24" x14ac:dyDescent="0.25">
      <c r="D10" t="s">
        <v>75</v>
      </c>
      <c r="E10" s="3"/>
      <c r="F10" s="3"/>
      <c r="M10">
        <v>2100</v>
      </c>
      <c r="N10">
        <v>2070</v>
      </c>
      <c r="O10">
        <v>2060</v>
      </c>
      <c r="P10">
        <v>2050</v>
      </c>
      <c r="S10">
        <v>2075</v>
      </c>
      <c r="T10">
        <f t="shared" si="3"/>
        <v>2050</v>
      </c>
      <c r="U10">
        <f t="shared" si="4"/>
        <v>2045</v>
      </c>
      <c r="V10">
        <v>2030</v>
      </c>
      <c r="W10">
        <v>2030</v>
      </c>
      <c r="X10">
        <v>2030</v>
      </c>
    </row>
    <row r="11" spans="1:24" x14ac:dyDescent="0.25">
      <c r="D11" t="s">
        <v>75</v>
      </c>
      <c r="E11" s="3"/>
      <c r="F11" s="3"/>
      <c r="N11">
        <v>2080</v>
      </c>
      <c r="O11">
        <v>2070</v>
      </c>
      <c r="P11">
        <v>2055</v>
      </c>
      <c r="S11">
        <v>2085</v>
      </c>
      <c r="T11">
        <f t="shared" si="3"/>
        <v>2055</v>
      </c>
      <c r="U11">
        <f t="shared" si="4"/>
        <v>2049</v>
      </c>
      <c r="V11">
        <v>2031</v>
      </c>
      <c r="W11">
        <v>2031</v>
      </c>
      <c r="X11">
        <v>2031</v>
      </c>
    </row>
    <row r="12" spans="1:24" x14ac:dyDescent="0.25">
      <c r="D12" t="s">
        <v>75</v>
      </c>
      <c r="E12" s="3"/>
      <c r="F12" s="3"/>
      <c r="N12">
        <v>2090</v>
      </c>
      <c r="O12">
        <v>2080</v>
      </c>
      <c r="P12">
        <v>2060</v>
      </c>
      <c r="S12">
        <v>2095</v>
      </c>
      <c r="T12">
        <f t="shared" si="3"/>
        <v>2060</v>
      </c>
      <c r="U12">
        <f t="shared" si="4"/>
        <v>2053</v>
      </c>
      <c r="V12">
        <v>2032</v>
      </c>
      <c r="W12">
        <v>2032</v>
      </c>
      <c r="X12">
        <v>2032</v>
      </c>
    </row>
    <row r="13" spans="1:24" x14ac:dyDescent="0.25">
      <c r="D13" t="s">
        <v>75</v>
      </c>
      <c r="E13" s="3"/>
      <c r="F13" s="3"/>
      <c r="N13">
        <v>2100</v>
      </c>
      <c r="O13">
        <v>2090</v>
      </c>
      <c r="P13">
        <v>2065</v>
      </c>
      <c r="S13">
        <v>2100</v>
      </c>
      <c r="T13">
        <f t="shared" si="3"/>
        <v>2065</v>
      </c>
      <c r="U13">
        <f t="shared" si="4"/>
        <v>2057</v>
      </c>
      <c r="W13">
        <v>2033</v>
      </c>
      <c r="X13">
        <v>2033</v>
      </c>
    </row>
    <row r="14" spans="1:24" x14ac:dyDescent="0.25">
      <c r="D14" t="s">
        <v>75</v>
      </c>
      <c r="E14" s="3"/>
      <c r="F14" s="3"/>
      <c r="O14">
        <v>2100</v>
      </c>
      <c r="P14">
        <v>2070</v>
      </c>
      <c r="T14">
        <v>2070</v>
      </c>
      <c r="U14">
        <f t="shared" si="4"/>
        <v>2061</v>
      </c>
      <c r="W14">
        <v>2034</v>
      </c>
      <c r="X14">
        <v>2034</v>
      </c>
    </row>
    <row r="15" spans="1:24" x14ac:dyDescent="0.25">
      <c r="D15" t="s">
        <v>75</v>
      </c>
      <c r="E15" s="3"/>
      <c r="F15" s="3"/>
      <c r="P15">
        <v>2075</v>
      </c>
      <c r="T15">
        <f t="shared" si="3"/>
        <v>2075</v>
      </c>
      <c r="U15">
        <f t="shared" si="4"/>
        <v>2065</v>
      </c>
      <c r="W15">
        <v>2035</v>
      </c>
      <c r="X15">
        <v>2035</v>
      </c>
    </row>
    <row r="16" spans="1:24" x14ac:dyDescent="0.25">
      <c r="D16" t="s">
        <v>75</v>
      </c>
      <c r="E16" s="3"/>
      <c r="F16" s="3"/>
      <c r="P16">
        <v>2080</v>
      </c>
      <c r="T16">
        <f t="shared" si="3"/>
        <v>2080</v>
      </c>
      <c r="U16">
        <f t="shared" si="4"/>
        <v>2069</v>
      </c>
      <c r="W16">
        <v>2036</v>
      </c>
      <c r="X16">
        <v>2036</v>
      </c>
    </row>
    <row r="17" spans="4:24" x14ac:dyDescent="0.25">
      <c r="D17" t="s">
        <v>75</v>
      </c>
      <c r="E17" s="3"/>
      <c r="F17" s="3"/>
      <c r="P17">
        <v>2085</v>
      </c>
      <c r="T17">
        <f t="shared" si="3"/>
        <v>2085</v>
      </c>
      <c r="U17">
        <f t="shared" si="4"/>
        <v>2073</v>
      </c>
      <c r="W17">
        <v>2037</v>
      </c>
      <c r="X17">
        <v>2037</v>
      </c>
    </row>
    <row r="18" spans="4:24" x14ac:dyDescent="0.25">
      <c r="D18" t="s">
        <v>75</v>
      </c>
      <c r="E18" s="3"/>
      <c r="F18" s="3"/>
      <c r="P18">
        <v>2090</v>
      </c>
      <c r="T18">
        <v>2090</v>
      </c>
      <c r="U18">
        <f t="shared" si="4"/>
        <v>2077</v>
      </c>
      <c r="W18">
        <v>2038</v>
      </c>
      <c r="X18">
        <v>2038</v>
      </c>
    </row>
    <row r="19" spans="4:24" x14ac:dyDescent="0.25">
      <c r="D19" t="s">
        <v>75</v>
      </c>
      <c r="E19" s="3"/>
      <c r="F19" s="3"/>
      <c r="P19">
        <v>2095</v>
      </c>
      <c r="T19">
        <v>2095</v>
      </c>
      <c r="U19">
        <f t="shared" si="4"/>
        <v>2081</v>
      </c>
      <c r="W19">
        <v>2039</v>
      </c>
      <c r="X19">
        <v>2039</v>
      </c>
    </row>
    <row r="20" spans="4:24" x14ac:dyDescent="0.25">
      <c r="D20" t="s">
        <v>75</v>
      </c>
      <c r="E20" s="3"/>
      <c r="F20" s="3"/>
      <c r="P20">
        <v>2100</v>
      </c>
      <c r="T20">
        <v>2100</v>
      </c>
      <c r="U20">
        <f t="shared" si="4"/>
        <v>2085</v>
      </c>
      <c r="W20">
        <v>2040</v>
      </c>
      <c r="X20">
        <v>2040</v>
      </c>
    </row>
    <row r="21" spans="4:24" x14ac:dyDescent="0.25">
      <c r="D21" t="s">
        <v>75</v>
      </c>
      <c r="E21" s="3"/>
      <c r="F21" s="3"/>
      <c r="U21">
        <f t="shared" si="4"/>
        <v>2089</v>
      </c>
      <c r="W21">
        <v>2041</v>
      </c>
      <c r="X21">
        <v>2041</v>
      </c>
    </row>
    <row r="22" spans="4:24" x14ac:dyDescent="0.25">
      <c r="D22" t="s">
        <v>75</v>
      </c>
      <c r="E22" s="3"/>
      <c r="F22" s="3"/>
      <c r="U22">
        <f t="shared" si="4"/>
        <v>2093</v>
      </c>
      <c r="W22">
        <v>2042</v>
      </c>
      <c r="X22">
        <v>2042</v>
      </c>
    </row>
    <row r="23" spans="4:24" x14ac:dyDescent="0.25">
      <c r="D23" t="s">
        <v>75</v>
      </c>
      <c r="E23" s="3"/>
      <c r="F23" s="3"/>
      <c r="U23">
        <f t="shared" si="4"/>
        <v>2097</v>
      </c>
      <c r="W23">
        <v>2043</v>
      </c>
      <c r="X23">
        <v>2043</v>
      </c>
    </row>
    <row r="24" spans="4:24" x14ac:dyDescent="0.25">
      <c r="D24" t="s">
        <v>75</v>
      </c>
      <c r="E24" s="3"/>
      <c r="F24" s="3"/>
      <c r="U24">
        <v>2100</v>
      </c>
      <c r="W24">
        <v>2044</v>
      </c>
      <c r="X24">
        <v>2044</v>
      </c>
    </row>
    <row r="25" spans="4:24" x14ac:dyDescent="0.25">
      <c r="D25" t="s">
        <v>75</v>
      </c>
      <c r="E25" s="3"/>
      <c r="F25" s="3"/>
      <c r="W25">
        <v>2045</v>
      </c>
      <c r="X25">
        <v>2045</v>
      </c>
    </row>
    <row r="26" spans="4:24" x14ac:dyDescent="0.25">
      <c r="D26" t="s">
        <v>75</v>
      </c>
      <c r="E26" s="3"/>
      <c r="F26" s="3"/>
      <c r="W26">
        <v>2046</v>
      </c>
      <c r="X26">
        <v>2046</v>
      </c>
    </row>
    <row r="27" spans="4:24" x14ac:dyDescent="0.25">
      <c r="D27" t="s">
        <v>75</v>
      </c>
      <c r="E27" s="3"/>
      <c r="F27" s="3"/>
      <c r="W27">
        <v>2047</v>
      </c>
      <c r="X27">
        <v>2047</v>
      </c>
    </row>
    <row r="28" spans="4:24" x14ac:dyDescent="0.25">
      <c r="D28" t="s">
        <v>75</v>
      </c>
      <c r="E28" s="3"/>
      <c r="F28" s="3"/>
      <c r="W28">
        <v>2048</v>
      </c>
      <c r="X28">
        <v>2048</v>
      </c>
    </row>
    <row r="29" spans="4:24" x14ac:dyDescent="0.25">
      <c r="D29" t="s">
        <v>75</v>
      </c>
      <c r="E29" s="3"/>
      <c r="F29" s="3"/>
      <c r="W29">
        <v>2049</v>
      </c>
      <c r="X29">
        <v>2049</v>
      </c>
    </row>
    <row r="30" spans="4:24" x14ac:dyDescent="0.25">
      <c r="D30" t="s">
        <v>75</v>
      </c>
      <c r="E30" s="3"/>
      <c r="F30" s="3"/>
      <c r="W30">
        <v>2050</v>
      </c>
      <c r="X30">
        <v>2050</v>
      </c>
    </row>
    <row r="31" spans="4:24" x14ac:dyDescent="0.25">
      <c r="D31" t="s">
        <v>75</v>
      </c>
      <c r="E31" s="3"/>
      <c r="F31" s="3"/>
      <c r="X31">
        <v>2051</v>
      </c>
    </row>
    <row r="32" spans="4:24" x14ac:dyDescent="0.25">
      <c r="D32" t="s">
        <v>75</v>
      </c>
      <c r="E32" s="3"/>
      <c r="F32" s="3"/>
      <c r="X32">
        <v>2052</v>
      </c>
    </row>
    <row r="33" spans="4:24" x14ac:dyDescent="0.25">
      <c r="D33" t="s">
        <v>75</v>
      </c>
      <c r="E33" s="3"/>
      <c r="F33" s="3"/>
      <c r="X33">
        <v>2053</v>
      </c>
    </row>
    <row r="34" spans="4:24" x14ac:dyDescent="0.25">
      <c r="D34" t="s">
        <v>75</v>
      </c>
      <c r="E34" s="3"/>
      <c r="F34" s="3"/>
      <c r="X34">
        <v>2054</v>
      </c>
    </row>
    <row r="35" spans="4:24" x14ac:dyDescent="0.25">
      <c r="D35" t="s">
        <v>75</v>
      </c>
      <c r="E35" s="3"/>
      <c r="F35" s="3"/>
      <c r="X35">
        <v>2055</v>
      </c>
    </row>
    <row r="36" spans="4:24" x14ac:dyDescent="0.25">
      <c r="D36" t="s">
        <v>75</v>
      </c>
      <c r="E36" s="3"/>
      <c r="F36" s="3"/>
      <c r="X36">
        <v>2056</v>
      </c>
    </row>
    <row r="37" spans="4:24" x14ac:dyDescent="0.25">
      <c r="D37" t="s">
        <v>75</v>
      </c>
      <c r="E37" s="3"/>
      <c r="F37" s="3"/>
      <c r="X37">
        <v>2057</v>
      </c>
    </row>
    <row r="38" spans="4:24" x14ac:dyDescent="0.25">
      <c r="D38" t="s">
        <v>75</v>
      </c>
      <c r="E38" s="3"/>
      <c r="F38" s="3"/>
      <c r="X38">
        <v>2058</v>
      </c>
    </row>
    <row r="39" spans="4:24" x14ac:dyDescent="0.25">
      <c r="D39" t="s">
        <v>75</v>
      </c>
      <c r="E39" s="3"/>
      <c r="F39" s="3"/>
      <c r="X39">
        <v>2059</v>
      </c>
    </row>
    <row r="40" spans="4:24" x14ac:dyDescent="0.25">
      <c r="D40" t="s">
        <v>75</v>
      </c>
      <c r="E40" s="3"/>
      <c r="F40" s="3"/>
      <c r="X40">
        <v>2060</v>
      </c>
    </row>
    <row r="41" spans="4:24" x14ac:dyDescent="0.25">
      <c r="D41" t="s">
        <v>75</v>
      </c>
      <c r="E41" s="3"/>
      <c r="F41" s="3"/>
      <c r="X41">
        <v>2061</v>
      </c>
    </row>
    <row r="42" spans="4:24" x14ac:dyDescent="0.25">
      <c r="D42" t="s">
        <v>75</v>
      </c>
      <c r="E42" s="3"/>
      <c r="F42" s="3"/>
      <c r="X42">
        <v>2062</v>
      </c>
    </row>
    <row r="43" spans="4:24" x14ac:dyDescent="0.25">
      <c r="D43" t="s">
        <v>75</v>
      </c>
      <c r="E43" s="3"/>
      <c r="F43" s="3"/>
      <c r="X43">
        <v>2063</v>
      </c>
    </row>
    <row r="44" spans="4:24" x14ac:dyDescent="0.25">
      <c r="D44" t="s">
        <v>75</v>
      </c>
      <c r="E44" s="3"/>
      <c r="F44" s="3"/>
      <c r="X44">
        <v>2064</v>
      </c>
    </row>
    <row r="45" spans="4:24" x14ac:dyDescent="0.25">
      <c r="D45" t="s">
        <v>75</v>
      </c>
      <c r="E45" s="3"/>
      <c r="F45" s="3"/>
      <c r="X45">
        <v>2065</v>
      </c>
    </row>
    <row r="46" spans="4:24" x14ac:dyDescent="0.25">
      <c r="D46" t="s">
        <v>75</v>
      </c>
      <c r="E46" s="3"/>
      <c r="F46" s="3"/>
      <c r="X46">
        <v>2066</v>
      </c>
    </row>
    <row r="47" spans="4:24" x14ac:dyDescent="0.25">
      <c r="D47" t="s">
        <v>75</v>
      </c>
      <c r="E47" s="3"/>
      <c r="F47" s="3"/>
      <c r="X47">
        <v>2067</v>
      </c>
    </row>
    <row r="48" spans="4:24" x14ac:dyDescent="0.25">
      <c r="D48" t="s">
        <v>75</v>
      </c>
      <c r="E48" s="3"/>
      <c r="F48" s="3"/>
      <c r="X48">
        <v>2068</v>
      </c>
    </row>
    <row r="49" spans="4:24" x14ac:dyDescent="0.25">
      <c r="D49" t="s">
        <v>75</v>
      </c>
      <c r="E49" s="3"/>
      <c r="F49" s="3"/>
      <c r="X49">
        <v>2069</v>
      </c>
    </row>
    <row r="50" spans="4:24" x14ac:dyDescent="0.25">
      <c r="D50" t="s">
        <v>75</v>
      </c>
      <c r="E50" s="3"/>
      <c r="F50" s="3"/>
      <c r="X50">
        <v>2070</v>
      </c>
    </row>
    <row r="51" spans="4:24" x14ac:dyDescent="0.25">
      <c r="D51" t="s">
        <v>75</v>
      </c>
      <c r="E51" s="3"/>
      <c r="F51" s="3"/>
      <c r="X51">
        <v>2071</v>
      </c>
    </row>
    <row r="52" spans="4:24" x14ac:dyDescent="0.25">
      <c r="D52" t="s">
        <v>75</v>
      </c>
      <c r="E52" s="3"/>
      <c r="F52" s="3"/>
      <c r="X52">
        <v>2072</v>
      </c>
    </row>
    <row r="53" spans="4:24" x14ac:dyDescent="0.25">
      <c r="D53" t="s">
        <v>75</v>
      </c>
      <c r="E53" s="3"/>
      <c r="F53" s="3"/>
      <c r="X53">
        <v>2073</v>
      </c>
    </row>
    <row r="54" spans="4:24" x14ac:dyDescent="0.25">
      <c r="D54" t="s">
        <v>75</v>
      </c>
      <c r="E54" s="3"/>
      <c r="F54" s="3"/>
      <c r="X54">
        <v>2074</v>
      </c>
    </row>
    <row r="55" spans="4:24" x14ac:dyDescent="0.25">
      <c r="D55" t="s">
        <v>75</v>
      </c>
      <c r="E55" s="3"/>
      <c r="F55" s="3"/>
      <c r="X55">
        <v>2075</v>
      </c>
    </row>
    <row r="56" spans="4:24" x14ac:dyDescent="0.25">
      <c r="D56" t="s">
        <v>75</v>
      </c>
      <c r="E56" s="3"/>
      <c r="F56" s="3"/>
      <c r="X56">
        <v>2076</v>
      </c>
    </row>
    <row r="57" spans="4:24" x14ac:dyDescent="0.25">
      <c r="D57" t="s">
        <v>75</v>
      </c>
      <c r="E57" s="3"/>
      <c r="F57" s="3"/>
      <c r="X57">
        <v>2077</v>
      </c>
    </row>
    <row r="58" spans="4:24" x14ac:dyDescent="0.25">
      <c r="D58" t="s">
        <v>75</v>
      </c>
      <c r="E58" s="3"/>
      <c r="F58" s="3"/>
      <c r="X58">
        <v>2078</v>
      </c>
    </row>
    <row r="59" spans="4:24" x14ac:dyDescent="0.25">
      <c r="D59" t="s">
        <v>75</v>
      </c>
      <c r="E59" s="3"/>
      <c r="F59" s="3"/>
      <c r="X59">
        <v>2079</v>
      </c>
    </row>
    <row r="60" spans="4:24" x14ac:dyDescent="0.25">
      <c r="D60" t="s">
        <v>75</v>
      </c>
      <c r="E60" s="3"/>
      <c r="F60" s="3"/>
      <c r="X60">
        <v>2080</v>
      </c>
    </row>
    <row r="61" spans="4:24" x14ac:dyDescent="0.25">
      <c r="D61" t="s">
        <v>75</v>
      </c>
      <c r="E61" s="3"/>
      <c r="F61" s="3"/>
      <c r="X61">
        <v>2081</v>
      </c>
    </row>
    <row r="62" spans="4:24" x14ac:dyDescent="0.25">
      <c r="D62" t="s">
        <v>75</v>
      </c>
      <c r="E62" s="3"/>
      <c r="F62" s="3"/>
      <c r="X62">
        <v>2082</v>
      </c>
    </row>
    <row r="63" spans="4:24" x14ac:dyDescent="0.25">
      <c r="D63" t="s">
        <v>75</v>
      </c>
      <c r="E63" s="3"/>
      <c r="F63" s="3"/>
      <c r="X63">
        <v>2083</v>
      </c>
    </row>
    <row r="64" spans="4:24" x14ac:dyDescent="0.25">
      <c r="D64" t="s">
        <v>75</v>
      </c>
      <c r="E64" s="3"/>
      <c r="F64" s="3"/>
      <c r="X64">
        <v>2084</v>
      </c>
    </row>
    <row r="65" spans="4:24" x14ac:dyDescent="0.25">
      <c r="D65" t="s">
        <v>75</v>
      </c>
      <c r="E65" s="3"/>
      <c r="F65" s="3"/>
      <c r="X65">
        <v>2085</v>
      </c>
    </row>
    <row r="66" spans="4:24" x14ac:dyDescent="0.25">
      <c r="D66" t="s">
        <v>75</v>
      </c>
      <c r="E66" s="3"/>
      <c r="F66" s="3"/>
      <c r="X66">
        <v>2086</v>
      </c>
    </row>
    <row r="67" spans="4:24" x14ac:dyDescent="0.25">
      <c r="D67" t="s">
        <v>75</v>
      </c>
      <c r="E67" s="3"/>
      <c r="F67" s="3"/>
      <c r="X67">
        <v>2087</v>
      </c>
    </row>
    <row r="68" spans="4:24" x14ac:dyDescent="0.25">
      <c r="D68" t="s">
        <v>75</v>
      </c>
      <c r="E68" s="3"/>
      <c r="F68" s="3"/>
      <c r="X68">
        <v>2088</v>
      </c>
    </row>
    <row r="69" spans="4:24" x14ac:dyDescent="0.25">
      <c r="D69" t="s">
        <v>75</v>
      </c>
      <c r="E69" s="3"/>
      <c r="F69" s="3"/>
      <c r="X69">
        <v>2089</v>
      </c>
    </row>
    <row r="70" spans="4:24" x14ac:dyDescent="0.25">
      <c r="D70" t="s">
        <v>75</v>
      </c>
      <c r="E70" s="3"/>
      <c r="F70" s="3"/>
      <c r="X70">
        <v>2090</v>
      </c>
    </row>
    <row r="71" spans="4:24" x14ac:dyDescent="0.25">
      <c r="D71" t="s">
        <v>75</v>
      </c>
      <c r="E71" s="3"/>
      <c r="F71" s="3"/>
      <c r="X71">
        <v>2091</v>
      </c>
    </row>
    <row r="72" spans="4:24" x14ac:dyDescent="0.25">
      <c r="D72" t="s">
        <v>75</v>
      </c>
      <c r="E72" s="3"/>
      <c r="F72" s="3"/>
      <c r="X72">
        <v>2092</v>
      </c>
    </row>
    <row r="73" spans="4:24" x14ac:dyDescent="0.25">
      <c r="D73" t="s">
        <v>75</v>
      </c>
      <c r="E73" s="3"/>
      <c r="F73" s="3"/>
      <c r="X73">
        <v>2093</v>
      </c>
    </row>
    <row r="74" spans="4:24" x14ac:dyDescent="0.25">
      <c r="D74" t="s">
        <v>75</v>
      </c>
      <c r="E74" s="3"/>
      <c r="F74" s="3"/>
      <c r="X74">
        <v>2094</v>
      </c>
    </row>
    <row r="75" spans="4:24" x14ac:dyDescent="0.25">
      <c r="D75" t="s">
        <v>75</v>
      </c>
      <c r="E75" s="3"/>
      <c r="F75" s="3"/>
      <c r="X75">
        <v>2095</v>
      </c>
    </row>
    <row r="76" spans="4:24" x14ac:dyDescent="0.25">
      <c r="D76" t="s">
        <v>75</v>
      </c>
      <c r="E76" s="3"/>
      <c r="F76" s="3"/>
      <c r="X76">
        <v>2096</v>
      </c>
    </row>
    <row r="77" spans="4:24" x14ac:dyDescent="0.25">
      <c r="D77" t="s">
        <v>75</v>
      </c>
      <c r="E77" s="3"/>
      <c r="F77" s="3"/>
      <c r="X77">
        <v>2097</v>
      </c>
    </row>
    <row r="78" spans="4:24" x14ac:dyDescent="0.25">
      <c r="D78" t="s">
        <v>75</v>
      </c>
      <c r="E78" s="3"/>
      <c r="F78" s="3"/>
      <c r="X78">
        <v>2098</v>
      </c>
    </row>
    <row r="79" spans="4:24" x14ac:dyDescent="0.25">
      <c r="D79" t="s">
        <v>75</v>
      </c>
      <c r="E79" s="3"/>
      <c r="F79" s="3"/>
      <c r="X79">
        <v>2099</v>
      </c>
    </row>
    <row r="80" spans="4:24" x14ac:dyDescent="0.25">
      <c r="D80" t="s">
        <v>75</v>
      </c>
      <c r="E80" s="3"/>
      <c r="F80" s="3"/>
      <c r="X80">
        <v>2100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5BE0-F722-41C6-882F-1D55714AD0F7}">
  <sheetPr codeName="Sheet3"/>
  <dimension ref="A1:K14"/>
  <sheetViews>
    <sheetView workbookViewId="0">
      <selection activeCell="D12" sqref="D12"/>
    </sheetView>
  </sheetViews>
  <sheetFormatPr defaultRowHeight="15" x14ac:dyDescent="0.25"/>
  <cols>
    <col min="1" max="1" width="20.140625" bestFit="1" customWidth="1"/>
    <col min="2" max="2" width="24.28515625" bestFit="1" customWidth="1"/>
    <col min="3" max="3" width="5" bestFit="1" customWidth="1"/>
    <col min="4" max="4" width="14.7109375" bestFit="1" customWidth="1"/>
    <col min="5" max="5" width="13.28515625" bestFit="1" customWidth="1"/>
    <col min="9" max="9" width="16" bestFit="1" customWidth="1"/>
    <col min="10" max="10" width="7.42578125" bestFit="1" customWidth="1"/>
    <col min="11" max="11" width="9.85546875" bestFit="1" customWidth="1"/>
  </cols>
  <sheetData>
    <row r="1" spans="1:11" x14ac:dyDescent="0.25">
      <c r="A1" s="30" t="s">
        <v>4</v>
      </c>
      <c r="B1" s="6"/>
      <c r="C1" s="6"/>
      <c r="D1" s="6"/>
      <c r="E1" s="6"/>
      <c r="I1" s="30" t="s">
        <v>47</v>
      </c>
    </row>
    <row r="2" spans="1:11" x14ac:dyDescent="0.25">
      <c r="A2" s="23" t="s">
        <v>7</v>
      </c>
      <c r="B2" s="23" t="s">
        <v>39</v>
      </c>
      <c r="C2" s="23" t="s">
        <v>8</v>
      </c>
      <c r="D2" s="23" t="s">
        <v>20</v>
      </c>
      <c r="E2" s="23" t="s">
        <v>10</v>
      </c>
      <c r="I2" s="23" t="s">
        <v>48</v>
      </c>
      <c r="J2" s="23" t="s">
        <v>49</v>
      </c>
      <c r="K2" s="23" t="s">
        <v>50</v>
      </c>
    </row>
    <row r="3" spans="1:11" x14ac:dyDescent="0.25">
      <c r="A3" s="27" t="s">
        <v>40</v>
      </c>
      <c r="B3" s="27"/>
      <c r="C3" s="27"/>
      <c r="D3" s="27" t="s">
        <v>41</v>
      </c>
      <c r="E3" s="27" t="s">
        <v>30</v>
      </c>
      <c r="I3" t="s">
        <v>51</v>
      </c>
      <c r="J3" t="s">
        <v>32</v>
      </c>
      <c r="K3">
        <v>3.6</v>
      </c>
    </row>
    <row r="4" spans="1:11" x14ac:dyDescent="0.25">
      <c r="A4" t="s">
        <v>42</v>
      </c>
      <c r="B4" t="s">
        <v>43</v>
      </c>
      <c r="E4">
        <v>2024</v>
      </c>
      <c r="I4" t="s">
        <v>52</v>
      </c>
      <c r="J4" t="s">
        <v>53</v>
      </c>
      <c r="K4">
        <v>1000</v>
      </c>
    </row>
    <row r="5" spans="1:11" x14ac:dyDescent="0.25">
      <c r="A5" t="s">
        <v>76</v>
      </c>
      <c r="B5" t="s">
        <v>44</v>
      </c>
      <c r="E5" s="15">
        <v>3.5000000000000003E-2</v>
      </c>
      <c r="I5" t="s">
        <v>54</v>
      </c>
      <c r="J5" t="s">
        <v>55</v>
      </c>
      <c r="K5">
        <v>1000</v>
      </c>
    </row>
    <row r="6" spans="1:11" x14ac:dyDescent="0.25">
      <c r="A6" t="s">
        <v>45</v>
      </c>
      <c r="C6" s="13"/>
      <c r="D6" t="s">
        <v>46</v>
      </c>
      <c r="E6">
        <v>0.95</v>
      </c>
      <c r="I6" t="s">
        <v>56</v>
      </c>
      <c r="J6" t="s">
        <v>32</v>
      </c>
      <c r="K6">
        <v>0.04</v>
      </c>
    </row>
    <row r="7" spans="1:11" x14ac:dyDescent="0.25">
      <c r="I7" t="s">
        <v>57</v>
      </c>
      <c r="J7" t="s">
        <v>32</v>
      </c>
      <c r="K7">
        <v>41.87</v>
      </c>
    </row>
    <row r="8" spans="1:11" x14ac:dyDescent="0.25">
      <c r="I8" t="s">
        <v>58</v>
      </c>
      <c r="J8" t="s">
        <v>32</v>
      </c>
      <c r="K8">
        <v>3.5999999999999999E-3</v>
      </c>
    </row>
    <row r="9" spans="1:11" x14ac:dyDescent="0.25">
      <c r="I9" t="s">
        <v>59</v>
      </c>
      <c r="J9" t="s">
        <v>53</v>
      </c>
      <c r="K9">
        <v>1000000</v>
      </c>
    </row>
    <row r="10" spans="1:11" x14ac:dyDescent="0.25">
      <c r="I10" t="s">
        <v>60</v>
      </c>
      <c r="J10" t="s">
        <v>32</v>
      </c>
      <c r="K10">
        <v>1000</v>
      </c>
    </row>
    <row r="11" spans="1:11" x14ac:dyDescent="0.25">
      <c r="I11" t="s">
        <v>61</v>
      </c>
      <c r="J11" t="s">
        <v>32</v>
      </c>
      <c r="K11">
        <v>3.6</v>
      </c>
    </row>
    <row r="12" spans="1:11" x14ac:dyDescent="0.25">
      <c r="I12" t="s">
        <v>32</v>
      </c>
      <c r="J12" t="s">
        <v>32</v>
      </c>
      <c r="K12">
        <v>1</v>
      </c>
    </row>
    <row r="13" spans="1:11" x14ac:dyDescent="0.25">
      <c r="I13" t="s">
        <v>53</v>
      </c>
      <c r="J13" t="s">
        <v>53</v>
      </c>
      <c r="K13">
        <v>1</v>
      </c>
    </row>
    <row r="14" spans="1:11" x14ac:dyDescent="0.25">
      <c r="I14" t="s">
        <v>55</v>
      </c>
      <c r="J14" t="s">
        <v>55</v>
      </c>
      <c r="K14"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C7F9-3339-42DB-B393-D8D904EDCF00}">
  <sheetPr codeName="Sheet7"/>
  <dimension ref="A1:X27"/>
  <sheetViews>
    <sheetView workbookViewId="0">
      <selection activeCell="H15" sqref="H15"/>
    </sheetView>
  </sheetViews>
  <sheetFormatPr defaultColWidth="9.140625" defaultRowHeight="15" x14ac:dyDescent="0.25"/>
  <cols>
    <col min="1" max="1" width="38.140625" style="1" bestFit="1" customWidth="1"/>
    <col min="2" max="2" width="3.85546875" style="1" customWidth="1"/>
    <col min="3" max="3" width="23" style="1" bestFit="1" customWidth="1"/>
    <col min="4" max="4" width="12.7109375" style="1" customWidth="1"/>
    <col min="5" max="5" width="14.28515625" style="1" customWidth="1"/>
    <col min="6" max="6" width="13.28515625" style="1" customWidth="1"/>
    <col min="7" max="7" width="4.5703125" style="1" customWidth="1"/>
    <col min="8" max="8" width="61" style="1" customWidth="1"/>
    <col min="9" max="9" width="18.5703125" style="1" customWidth="1"/>
    <col min="10" max="10" width="61.28515625" style="1" bestFit="1" customWidth="1"/>
    <col min="11" max="11" width="46.7109375" style="1" bestFit="1" customWidth="1"/>
    <col min="12" max="12" width="19.5703125" style="1" bestFit="1" customWidth="1"/>
    <col min="13" max="14" width="5.5703125" style="1" customWidth="1"/>
    <col min="15" max="15" width="16.140625" style="1" customWidth="1"/>
    <col min="16" max="16" width="4.5703125" style="1" customWidth="1"/>
    <col min="17" max="17" width="4.140625" style="1" customWidth="1"/>
    <col min="18" max="18" width="4.28515625" style="1" customWidth="1"/>
    <col min="19" max="19" width="4.5703125" style="1" customWidth="1"/>
    <col min="20" max="20" width="4.42578125" style="1" customWidth="1"/>
    <col min="21" max="42" width="5.5703125" style="1" customWidth="1"/>
    <col min="43" max="16384" width="9.140625" style="1"/>
  </cols>
  <sheetData>
    <row r="1" spans="1:24" x14ac:dyDescent="0.25">
      <c r="A1" s="28" t="s">
        <v>25</v>
      </c>
      <c r="C1" s="28" t="s">
        <v>4</v>
      </c>
      <c r="D1" s="6"/>
      <c r="E1" s="6"/>
      <c r="F1" s="6"/>
      <c r="I1" s="9"/>
      <c r="J1" s="16" t="s">
        <v>33</v>
      </c>
    </row>
    <row r="2" spans="1:24" x14ac:dyDescent="0.25">
      <c r="A2" s="23" t="s">
        <v>26</v>
      </c>
      <c r="C2" s="23" t="s">
        <v>7</v>
      </c>
      <c r="D2" s="23" t="s">
        <v>6</v>
      </c>
      <c r="E2" s="23" t="s">
        <v>9</v>
      </c>
      <c r="F2" s="23" t="s">
        <v>10</v>
      </c>
      <c r="I2" s="10"/>
      <c r="J2" s="1" t="s">
        <v>34</v>
      </c>
      <c r="K2" s="17" t="s">
        <v>35</v>
      </c>
      <c r="L2" s="11"/>
    </row>
    <row r="3" spans="1:24" x14ac:dyDescent="0.25">
      <c r="A3" s="1" t="str">
        <f>"MUSD"&amp;J7</f>
        <v>MUSD2020</v>
      </c>
      <c r="C3" s="27" t="s">
        <v>27</v>
      </c>
      <c r="D3" s="27" t="s">
        <v>28</v>
      </c>
      <c r="E3" s="27" t="s">
        <v>29</v>
      </c>
      <c r="F3" s="27" t="s">
        <v>30</v>
      </c>
      <c r="K3" s="1" t="s">
        <v>36</v>
      </c>
      <c r="L3"/>
      <c r="M3" s="5"/>
      <c r="N3" s="5"/>
      <c r="X3" s="7"/>
    </row>
    <row r="4" spans="1:24" x14ac:dyDescent="0.25">
      <c r="A4" s="1" t="str">
        <f>"MUSD"&amp;J5</f>
        <v>MUSD2022</v>
      </c>
      <c r="C4" s="1" t="s">
        <v>31</v>
      </c>
      <c r="D4" s="1" t="str">
        <f t="shared" ref="D4:D25" si="0">A4</f>
        <v>MUSD2022</v>
      </c>
      <c r="E4" s="1" t="str">
        <f t="shared" ref="E4:E25" si="1">$A$3</f>
        <v>MUSD2020</v>
      </c>
      <c r="F4" s="1">
        <f>L5</f>
        <v>1.0900000000000001</v>
      </c>
      <c r="J4" s="24" t="s">
        <v>8</v>
      </c>
      <c r="K4" s="24" t="s">
        <v>37</v>
      </c>
      <c r="L4" s="24" t="s">
        <v>38</v>
      </c>
      <c r="M4" s="5"/>
      <c r="N4" s="5"/>
      <c r="X4" s="7"/>
    </row>
    <row r="5" spans="1:24" x14ac:dyDescent="0.25">
      <c r="A5" s="1" t="str">
        <f>"MUSD"&amp;J6</f>
        <v>MUSD2021</v>
      </c>
      <c r="C5" s="1" t="s">
        <v>31</v>
      </c>
      <c r="D5" s="1" t="str">
        <f t="shared" si="0"/>
        <v>MUSD2021</v>
      </c>
      <c r="E5" s="1" t="str">
        <f t="shared" si="1"/>
        <v>MUSD2020</v>
      </c>
      <c r="F5" s="1">
        <f>L6</f>
        <v>1.03</v>
      </c>
      <c r="J5" s="1">
        <v>2022</v>
      </c>
      <c r="K5" s="20">
        <v>281.149</v>
      </c>
      <c r="L5" s="1">
        <v>1.0900000000000001</v>
      </c>
      <c r="M5" s="5"/>
      <c r="N5" s="5"/>
      <c r="X5" s="7"/>
    </row>
    <row r="6" spans="1:24" x14ac:dyDescent="0.25">
      <c r="A6" s="1" t="str">
        <f t="shared" ref="A6:A25" si="2">"MUSD"&amp;J8</f>
        <v>MUSD2019</v>
      </c>
      <c r="C6" s="1" t="s">
        <v>31</v>
      </c>
      <c r="D6" s="1" t="str">
        <f t="shared" si="0"/>
        <v>MUSD2019</v>
      </c>
      <c r="E6" s="1" t="str">
        <f t="shared" si="1"/>
        <v>MUSD2020</v>
      </c>
      <c r="F6" s="14">
        <f t="shared" ref="F6:F25" si="3">L8</f>
        <v>0.98750000000000004</v>
      </c>
      <c r="J6">
        <v>2021</v>
      </c>
      <c r="K6" s="20">
        <v>264.87700000000001</v>
      </c>
      <c r="L6" s="1">
        <v>1.03</v>
      </c>
      <c r="M6" s="5"/>
      <c r="N6" s="5"/>
      <c r="X6" s="7"/>
    </row>
    <row r="7" spans="1:24" x14ac:dyDescent="0.25">
      <c r="A7" s="1" t="str">
        <f t="shared" si="2"/>
        <v>MUSD2018</v>
      </c>
      <c r="C7" s="1" t="s">
        <v>31</v>
      </c>
      <c r="D7" s="1" t="str">
        <f t="shared" si="0"/>
        <v>MUSD2018</v>
      </c>
      <c r="E7" s="1" t="str">
        <f t="shared" si="1"/>
        <v>MUSD2020</v>
      </c>
      <c r="F7" s="14">
        <f t="shared" si="3"/>
        <v>0.98608984374999997</v>
      </c>
      <c r="J7" s="1">
        <v>2020</v>
      </c>
      <c r="K7" s="1">
        <v>256</v>
      </c>
      <c r="L7" s="13">
        <f t="shared" ref="L7:L27" si="4">K7/$K$7</f>
        <v>1</v>
      </c>
      <c r="M7" s="5"/>
      <c r="N7" s="5"/>
      <c r="X7" s="7"/>
    </row>
    <row r="8" spans="1:24" x14ac:dyDescent="0.25">
      <c r="A8" s="1" t="str">
        <f t="shared" si="2"/>
        <v>MUSD2017</v>
      </c>
      <c r="C8" s="1" t="s">
        <v>31</v>
      </c>
      <c r="D8" s="1" t="str">
        <f t="shared" si="0"/>
        <v>MUSD2017</v>
      </c>
      <c r="E8" s="1" t="str">
        <f t="shared" si="1"/>
        <v>MUSD2020</v>
      </c>
      <c r="F8" s="14">
        <f t="shared" si="3"/>
        <v>0.95619531250000001</v>
      </c>
      <c r="J8" s="1">
        <v>2019</v>
      </c>
      <c r="K8" s="1">
        <v>252.8</v>
      </c>
      <c r="L8" s="13">
        <f t="shared" si="4"/>
        <v>0.98750000000000004</v>
      </c>
      <c r="M8" s="5"/>
      <c r="N8" s="5"/>
      <c r="X8" s="7"/>
    </row>
    <row r="9" spans="1:24" x14ac:dyDescent="0.25">
      <c r="A9" s="1" t="str">
        <f t="shared" si="2"/>
        <v>MUSD2016</v>
      </c>
      <c r="C9" s="1" t="s">
        <v>31</v>
      </c>
      <c r="D9" s="1" t="str">
        <f t="shared" si="0"/>
        <v>MUSD2016</v>
      </c>
      <c r="E9" s="1" t="str">
        <f t="shared" si="1"/>
        <v>MUSD2020</v>
      </c>
      <c r="F9" s="14">
        <f t="shared" si="3"/>
        <v>0.98088671875</v>
      </c>
      <c r="J9">
        <v>2018</v>
      </c>
      <c r="K9" s="12">
        <v>252.43899999999999</v>
      </c>
      <c r="L9" s="13">
        <f t="shared" si="4"/>
        <v>0.98608984374999997</v>
      </c>
      <c r="M9" s="5"/>
      <c r="N9" s="5"/>
      <c r="X9" s="7"/>
    </row>
    <row r="10" spans="1:24" x14ac:dyDescent="0.25">
      <c r="A10" s="1" t="str">
        <f t="shared" si="2"/>
        <v>MUSD2015</v>
      </c>
      <c r="C10" s="1" t="s">
        <v>31</v>
      </c>
      <c r="D10" s="1" t="str">
        <f t="shared" si="0"/>
        <v>MUSD2015</v>
      </c>
      <c r="E10" s="1" t="str">
        <f t="shared" si="1"/>
        <v>MUSD2020</v>
      </c>
      <c r="F10" s="14">
        <f t="shared" si="3"/>
        <v>0.92584765624999998</v>
      </c>
      <c r="J10">
        <v>2017</v>
      </c>
      <c r="K10" s="12">
        <v>244.786</v>
      </c>
      <c r="L10" s="13">
        <f t="shared" si="4"/>
        <v>0.95619531250000001</v>
      </c>
      <c r="M10" s="5"/>
      <c r="N10" s="5"/>
      <c r="X10" s="7"/>
    </row>
    <row r="11" spans="1:24" x14ac:dyDescent="0.25">
      <c r="A11" s="1" t="str">
        <f t="shared" si="2"/>
        <v>MUSD2014</v>
      </c>
      <c r="C11" s="1" t="s">
        <v>31</v>
      </c>
      <c r="D11" s="1" t="str">
        <f t="shared" si="0"/>
        <v>MUSD2014</v>
      </c>
      <c r="E11" s="1" t="str">
        <f t="shared" si="1"/>
        <v>MUSD2020</v>
      </c>
      <c r="F11" s="14">
        <f t="shared" si="3"/>
        <v>0.92474999999999996</v>
      </c>
      <c r="J11">
        <v>2016</v>
      </c>
      <c r="K11" s="12">
        <v>251.107</v>
      </c>
      <c r="L11" s="13">
        <f t="shared" si="4"/>
        <v>0.98088671875</v>
      </c>
      <c r="M11" s="5"/>
      <c r="N11" s="5"/>
      <c r="X11" s="7"/>
    </row>
    <row r="12" spans="1:24" x14ac:dyDescent="0.25">
      <c r="A12" s="1" t="str">
        <f t="shared" si="2"/>
        <v>MUSD2013</v>
      </c>
      <c r="C12" s="1" t="s">
        <v>31</v>
      </c>
      <c r="D12" s="1" t="str">
        <f t="shared" si="0"/>
        <v>MUSD2013</v>
      </c>
      <c r="E12" s="1" t="str">
        <f t="shared" si="1"/>
        <v>MUSD2020</v>
      </c>
      <c r="F12" s="14">
        <f t="shared" si="3"/>
        <v>0.90998828124999998</v>
      </c>
      <c r="J12">
        <v>2015</v>
      </c>
      <c r="K12" s="12">
        <v>237.017</v>
      </c>
      <c r="L12" s="13">
        <f t="shared" si="4"/>
        <v>0.92584765624999998</v>
      </c>
      <c r="M12" s="5"/>
      <c r="N12" s="5"/>
      <c r="X12" s="7"/>
    </row>
    <row r="13" spans="1:24" x14ac:dyDescent="0.25">
      <c r="A13" s="1" t="str">
        <f t="shared" si="2"/>
        <v>MUSD2012</v>
      </c>
      <c r="C13" s="1" t="s">
        <v>31</v>
      </c>
      <c r="D13" s="1" t="str">
        <f t="shared" si="0"/>
        <v>MUSD2012</v>
      </c>
      <c r="E13" s="1" t="str">
        <f t="shared" si="1"/>
        <v>MUSD2020</v>
      </c>
      <c r="F13" s="14">
        <f t="shared" si="3"/>
        <v>0.89685156249999998</v>
      </c>
      <c r="J13">
        <v>2014</v>
      </c>
      <c r="K13" s="12">
        <v>236.73599999999999</v>
      </c>
      <c r="L13" s="13">
        <f t="shared" si="4"/>
        <v>0.92474999999999996</v>
      </c>
      <c r="M13" s="5"/>
      <c r="N13" s="5"/>
      <c r="X13" s="7"/>
    </row>
    <row r="14" spans="1:24" x14ac:dyDescent="0.25">
      <c r="A14" s="1" t="str">
        <f t="shared" si="2"/>
        <v>MUSD2011</v>
      </c>
      <c r="C14" s="1" t="s">
        <v>31</v>
      </c>
      <c r="D14" s="1" t="str">
        <f t="shared" si="0"/>
        <v>MUSD2011</v>
      </c>
      <c r="E14" s="1" t="str">
        <f t="shared" si="1"/>
        <v>MUSD2020</v>
      </c>
      <c r="F14" s="14">
        <f t="shared" si="3"/>
        <v>0.87866796874999997</v>
      </c>
      <c r="J14">
        <v>2013</v>
      </c>
      <c r="K14" s="12">
        <v>232.95699999999999</v>
      </c>
      <c r="L14" s="13">
        <f t="shared" si="4"/>
        <v>0.90998828124999998</v>
      </c>
      <c r="M14" s="5"/>
      <c r="N14" s="5"/>
      <c r="X14" s="7"/>
    </row>
    <row r="15" spans="1:24" x14ac:dyDescent="0.25">
      <c r="A15" s="1" t="str">
        <f t="shared" si="2"/>
        <v>MUSD2010</v>
      </c>
      <c r="C15" s="1" t="s">
        <v>31</v>
      </c>
      <c r="D15" s="1" t="str">
        <f t="shared" si="0"/>
        <v>MUSD2010</v>
      </c>
      <c r="E15" s="1" t="str">
        <f t="shared" si="1"/>
        <v>MUSD2020</v>
      </c>
      <c r="F15" s="14">
        <f t="shared" si="3"/>
        <v>0.85178125000000005</v>
      </c>
      <c r="J15">
        <v>2012</v>
      </c>
      <c r="K15" s="12">
        <v>229.59399999999999</v>
      </c>
      <c r="L15" s="13">
        <f t="shared" si="4"/>
        <v>0.89685156249999998</v>
      </c>
      <c r="M15" s="5"/>
      <c r="N15" s="5"/>
      <c r="T15" s="8"/>
    </row>
    <row r="16" spans="1:24" x14ac:dyDescent="0.25">
      <c r="A16" s="1" t="str">
        <f t="shared" si="2"/>
        <v>MUSD2009</v>
      </c>
      <c r="C16" s="1" t="s">
        <v>31</v>
      </c>
      <c r="D16" s="1" t="str">
        <f t="shared" si="0"/>
        <v>MUSD2009</v>
      </c>
      <c r="E16" s="1" t="str">
        <f t="shared" si="1"/>
        <v>MUSD2020</v>
      </c>
      <c r="F16" s="14">
        <f t="shared" si="3"/>
        <v>0.83803515625000002</v>
      </c>
      <c r="J16">
        <v>2011</v>
      </c>
      <c r="K16" s="12">
        <v>224.93899999999999</v>
      </c>
      <c r="L16" s="13">
        <f t="shared" si="4"/>
        <v>0.87866796874999997</v>
      </c>
    </row>
    <row r="17" spans="1:12" x14ac:dyDescent="0.25">
      <c r="A17" s="1" t="str">
        <f t="shared" si="2"/>
        <v>MUSD2008</v>
      </c>
      <c r="C17" s="1" t="s">
        <v>31</v>
      </c>
      <c r="D17" s="1" t="str">
        <f t="shared" si="0"/>
        <v>MUSD2008</v>
      </c>
      <c r="E17" s="1" t="str">
        <f t="shared" si="1"/>
        <v>MUSD2020</v>
      </c>
      <c r="F17" s="14">
        <f t="shared" si="3"/>
        <v>0.84102734374999999</v>
      </c>
      <c r="J17">
        <v>2010</v>
      </c>
      <c r="K17" s="12">
        <v>218.05600000000001</v>
      </c>
      <c r="L17" s="13">
        <f t="shared" si="4"/>
        <v>0.85178125000000005</v>
      </c>
    </row>
    <row r="18" spans="1:12" x14ac:dyDescent="0.25">
      <c r="A18" s="1" t="str">
        <f t="shared" si="2"/>
        <v>MUSD2007</v>
      </c>
      <c r="C18" s="1" t="s">
        <v>31</v>
      </c>
      <c r="D18" s="1" t="str">
        <f t="shared" si="0"/>
        <v>MUSD2007</v>
      </c>
      <c r="E18" s="1" t="str">
        <f t="shared" si="1"/>
        <v>MUSD2020</v>
      </c>
      <c r="F18" s="14">
        <f t="shared" si="3"/>
        <v>0.80976562500000004</v>
      </c>
      <c r="J18">
        <v>2009</v>
      </c>
      <c r="K18" s="12">
        <v>214.53700000000001</v>
      </c>
      <c r="L18" s="13">
        <f t="shared" si="4"/>
        <v>0.83803515625000002</v>
      </c>
    </row>
    <row r="19" spans="1:12" x14ac:dyDescent="0.25">
      <c r="A19" s="1" t="str">
        <f t="shared" si="2"/>
        <v>MUSD2006</v>
      </c>
      <c r="C19" s="1" t="s">
        <v>31</v>
      </c>
      <c r="D19" s="1" t="str">
        <f t="shared" si="0"/>
        <v>MUSD2006</v>
      </c>
      <c r="E19" s="1" t="str">
        <f t="shared" si="1"/>
        <v>MUSD2020</v>
      </c>
      <c r="F19" s="14">
        <f t="shared" si="3"/>
        <v>0.78749999999999998</v>
      </c>
      <c r="J19">
        <v>2008</v>
      </c>
      <c r="K19" s="12">
        <v>215.303</v>
      </c>
      <c r="L19" s="13">
        <f t="shared" si="4"/>
        <v>0.84102734374999999</v>
      </c>
    </row>
    <row r="20" spans="1:12" x14ac:dyDescent="0.25">
      <c r="A20" s="1" t="str">
        <f t="shared" si="2"/>
        <v>MUSD2005</v>
      </c>
      <c r="C20" s="1" t="s">
        <v>31</v>
      </c>
      <c r="D20" s="1" t="str">
        <f t="shared" si="0"/>
        <v>MUSD2005</v>
      </c>
      <c r="E20" s="1" t="str">
        <f t="shared" si="1"/>
        <v>MUSD2020</v>
      </c>
      <c r="F20" s="14">
        <f t="shared" si="3"/>
        <v>0.76289062500000004</v>
      </c>
      <c r="J20">
        <v>2007</v>
      </c>
      <c r="K20" s="12">
        <v>207.3</v>
      </c>
      <c r="L20" s="13">
        <f t="shared" si="4"/>
        <v>0.80976562500000004</v>
      </c>
    </row>
    <row r="21" spans="1:12" x14ac:dyDescent="0.25">
      <c r="A21" s="1" t="str">
        <f t="shared" si="2"/>
        <v>MUSD2004</v>
      </c>
      <c r="C21" s="1" t="s">
        <v>31</v>
      </c>
      <c r="D21" s="1" t="str">
        <f t="shared" si="0"/>
        <v>MUSD2004</v>
      </c>
      <c r="E21" s="1" t="str">
        <f t="shared" si="1"/>
        <v>MUSD2020</v>
      </c>
      <c r="F21" s="14">
        <f t="shared" si="3"/>
        <v>0.73789062500000002</v>
      </c>
      <c r="J21">
        <v>2006</v>
      </c>
      <c r="K21" s="12">
        <v>201.6</v>
      </c>
      <c r="L21" s="13">
        <f t="shared" si="4"/>
        <v>0.78749999999999998</v>
      </c>
    </row>
    <row r="22" spans="1:12" x14ac:dyDescent="0.25">
      <c r="A22" s="1" t="str">
        <f t="shared" si="2"/>
        <v>MUSD2003</v>
      </c>
      <c r="C22" s="1" t="s">
        <v>31</v>
      </c>
      <c r="D22" s="1" t="str">
        <f t="shared" si="0"/>
        <v>MUSD2003</v>
      </c>
      <c r="E22" s="1" t="str">
        <f t="shared" si="1"/>
        <v>MUSD2020</v>
      </c>
      <c r="F22" s="14">
        <f t="shared" si="3"/>
        <v>0.71875</v>
      </c>
      <c r="J22">
        <v>2005</v>
      </c>
      <c r="K22" s="12">
        <v>195.3</v>
      </c>
      <c r="L22" s="13">
        <f t="shared" si="4"/>
        <v>0.76289062500000004</v>
      </c>
    </row>
    <row r="23" spans="1:12" x14ac:dyDescent="0.25">
      <c r="A23" s="1" t="str">
        <f t="shared" si="2"/>
        <v>MUSD2002</v>
      </c>
      <c r="C23" s="1" t="s">
        <v>31</v>
      </c>
      <c r="D23" s="1" t="str">
        <f t="shared" si="0"/>
        <v>MUSD2002</v>
      </c>
      <c r="E23" s="1" t="str">
        <f t="shared" si="1"/>
        <v>MUSD2020</v>
      </c>
      <c r="F23" s="14">
        <f t="shared" si="3"/>
        <v>0.70273437500000002</v>
      </c>
      <c r="J23">
        <v>2004</v>
      </c>
      <c r="K23" s="12">
        <v>188.9</v>
      </c>
      <c r="L23" s="13">
        <f t="shared" si="4"/>
        <v>0.73789062500000002</v>
      </c>
    </row>
    <row r="24" spans="1:12" x14ac:dyDescent="0.25">
      <c r="A24" s="1" t="str">
        <f t="shared" si="2"/>
        <v>MUSD2001</v>
      </c>
      <c r="C24" s="1" t="s">
        <v>31</v>
      </c>
      <c r="D24" s="1" t="str">
        <f t="shared" si="0"/>
        <v>MUSD2001</v>
      </c>
      <c r="E24" s="1" t="str">
        <f t="shared" si="1"/>
        <v>MUSD2020</v>
      </c>
      <c r="F24" s="14">
        <f t="shared" si="3"/>
        <v>0.69179687499999998</v>
      </c>
      <c r="J24">
        <v>2003</v>
      </c>
      <c r="K24" s="12">
        <v>184</v>
      </c>
      <c r="L24" s="13">
        <f t="shared" si="4"/>
        <v>0.71875</v>
      </c>
    </row>
    <row r="25" spans="1:12" x14ac:dyDescent="0.25">
      <c r="A25" s="1" t="str">
        <f t="shared" si="2"/>
        <v>MUSD2000</v>
      </c>
      <c r="C25" s="1" t="s">
        <v>31</v>
      </c>
      <c r="D25" s="1" t="str">
        <f t="shared" si="0"/>
        <v>MUSD2000</v>
      </c>
      <c r="E25" s="1" t="str">
        <f t="shared" si="1"/>
        <v>MUSD2020</v>
      </c>
      <c r="F25" s="14">
        <f t="shared" si="3"/>
        <v>0.67265624999999996</v>
      </c>
      <c r="J25">
        <v>2002</v>
      </c>
      <c r="K25" s="12">
        <v>179.9</v>
      </c>
      <c r="L25" s="13">
        <f t="shared" si="4"/>
        <v>0.70273437500000002</v>
      </c>
    </row>
    <row r="26" spans="1:12" x14ac:dyDescent="0.25">
      <c r="J26">
        <v>2001</v>
      </c>
      <c r="K26" s="12">
        <v>177.1</v>
      </c>
      <c r="L26" s="13">
        <f t="shared" si="4"/>
        <v>0.69179687499999998</v>
      </c>
    </row>
    <row r="27" spans="1:12" x14ac:dyDescent="0.25">
      <c r="J27">
        <v>2000</v>
      </c>
      <c r="K27" s="12">
        <v>172.2</v>
      </c>
      <c r="L27" s="13">
        <f t="shared" si="4"/>
        <v>0.67265624999999996</v>
      </c>
    </row>
  </sheetData>
  <hyperlinks>
    <hyperlink ref="K2" r:id="rId1" xr:uid="{FA687500-4355-4841-BAFA-AF5A5A40CAEC}"/>
  </hyperlinks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75E3-96A5-4F11-8965-60F321ED4A7F}">
  <sheetPr codeName="Sheet6"/>
  <dimension ref="A1:P4"/>
  <sheetViews>
    <sheetView workbookViewId="0">
      <selection activeCell="E10" sqref="E10"/>
    </sheetView>
  </sheetViews>
  <sheetFormatPr defaultRowHeight="15" x14ac:dyDescent="0.25"/>
  <cols>
    <col min="1" max="1" width="10.85546875" bestFit="1" customWidth="1"/>
    <col min="2" max="2" width="8.85546875" bestFit="1" customWidth="1"/>
    <col min="3" max="3" width="10" bestFit="1" customWidth="1"/>
    <col min="4" max="4" width="5.140625" bestFit="1" customWidth="1"/>
    <col min="5" max="5" width="14.28515625" bestFit="1" customWidth="1"/>
    <col min="6" max="6" width="10.7109375" bestFit="1" customWidth="1"/>
    <col min="7" max="8" width="5.85546875" bestFit="1" customWidth="1"/>
    <col min="9" max="9" width="8.85546875" bestFit="1" customWidth="1"/>
    <col min="10" max="10" width="9.42578125" bestFit="1" customWidth="1"/>
    <col min="11" max="11" width="8.42578125" bestFit="1" customWidth="1"/>
    <col min="12" max="12" width="7.7109375" bestFit="1" customWidth="1"/>
    <col min="13" max="13" width="8.5703125" bestFit="1" customWidth="1"/>
    <col min="14" max="14" width="8.85546875" bestFit="1" customWidth="1"/>
    <col min="15" max="16" width="8.42578125" bestFit="1" customWidth="1"/>
  </cols>
  <sheetData>
    <row r="1" spans="1:16" x14ac:dyDescent="0.25">
      <c r="A1" s="31" t="s">
        <v>79</v>
      </c>
    </row>
    <row r="2" spans="1:16" x14ac:dyDescent="0.25">
      <c r="A2" s="23" t="s">
        <v>5</v>
      </c>
      <c r="B2" s="23" t="s">
        <v>12</v>
      </c>
      <c r="C2" s="23" t="s">
        <v>7</v>
      </c>
      <c r="D2" s="23" t="s">
        <v>8</v>
      </c>
      <c r="E2" s="23" t="s">
        <v>9</v>
      </c>
      <c r="F2" s="23" t="s">
        <v>10</v>
      </c>
      <c r="G2" s="23" t="s">
        <v>3</v>
      </c>
      <c r="H2" s="23" t="s">
        <v>14</v>
      </c>
      <c r="I2" s="23" t="s">
        <v>15</v>
      </c>
      <c r="J2" s="23" t="s">
        <v>13</v>
      </c>
      <c r="K2" s="23" t="s">
        <v>16</v>
      </c>
      <c r="L2" s="23" t="s">
        <v>17</v>
      </c>
      <c r="M2" s="23" t="s">
        <v>18</v>
      </c>
      <c r="N2" s="23" t="s">
        <v>19</v>
      </c>
      <c r="O2" s="23" t="s">
        <v>20</v>
      </c>
      <c r="P2" s="23" t="s">
        <v>21</v>
      </c>
    </row>
    <row r="3" spans="1:16" x14ac:dyDescent="0.25">
      <c r="C3" t="s">
        <v>80</v>
      </c>
      <c r="F3">
        <v>8888</v>
      </c>
      <c r="I3" t="s">
        <v>22</v>
      </c>
      <c r="J3" t="s">
        <v>24</v>
      </c>
    </row>
    <row r="4" spans="1:16" x14ac:dyDescent="0.25">
      <c r="C4" t="s">
        <v>80</v>
      </c>
      <c r="F4">
        <v>2222</v>
      </c>
      <c r="I4" t="s">
        <v>22</v>
      </c>
      <c r="J4" t="s">
        <v>23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FCEE7-6C76-4580-B7BF-D58BF63E8932}">
  <dimension ref="A1:E5"/>
  <sheetViews>
    <sheetView workbookViewId="0"/>
  </sheetViews>
  <sheetFormatPr defaultRowHeight="15" x14ac:dyDescent="0.25"/>
  <cols>
    <col min="1" max="1" width="14.42578125" bestFit="1" customWidth="1"/>
    <col min="2" max="2" width="10.42578125" bestFit="1" customWidth="1"/>
    <col min="3" max="3" width="9.140625" bestFit="1" customWidth="1"/>
    <col min="4" max="4" width="10.5703125" bestFit="1" customWidth="1"/>
    <col min="5" max="5" width="10" bestFit="1" customWidth="1"/>
  </cols>
  <sheetData>
    <row r="1" spans="1:5" x14ac:dyDescent="0.25">
      <c r="A1" s="31" t="s">
        <v>226</v>
      </c>
      <c r="E1" s="21"/>
    </row>
    <row r="2" spans="1:5" x14ac:dyDescent="0.25">
      <c r="A2" s="23" t="s">
        <v>7</v>
      </c>
      <c r="B2" s="23" t="s">
        <v>10</v>
      </c>
      <c r="C2" s="23" t="s">
        <v>78</v>
      </c>
      <c r="D2" s="23" t="s">
        <v>77</v>
      </c>
    </row>
    <row r="3" spans="1:5" x14ac:dyDescent="0.25">
      <c r="A3" t="s">
        <v>69</v>
      </c>
      <c r="B3" t="s">
        <v>70</v>
      </c>
      <c r="C3" t="s">
        <v>22</v>
      </c>
      <c r="D3" t="s">
        <v>23</v>
      </c>
    </row>
    <row r="5" spans="1:5" x14ac:dyDescent="0.25">
      <c r="A5" t="s">
        <v>69</v>
      </c>
      <c r="B5" t="s">
        <v>70</v>
      </c>
      <c r="C5" t="s">
        <v>22</v>
      </c>
      <c r="D5" t="s">
        <v>71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Regions</vt:lpstr>
      <vt:lpstr>TimePeriods</vt:lpstr>
      <vt:lpstr>Constants</vt:lpstr>
      <vt:lpstr>Currencies</vt:lpstr>
      <vt:lpstr>Dummies</vt:lpstr>
      <vt:lpstr>TS_level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2023-07-11T04:44:38Z</dcterms:created>
  <dcterms:modified xsi:type="dcterms:W3CDTF">2025-12-28T19:07:11Z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146099567413330</vt:r8>
  </property>
</Properties>
</file>