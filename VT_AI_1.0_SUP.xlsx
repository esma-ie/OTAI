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codeName="ThisWorkbook"/>
  <xr:revisionPtr revIDLastSave="0" documentId="13_ncr:1_{79989682-2BA0-41F9-8B07-26B2C6D590A3}" xr6:coauthVersionLast="47" xr6:coauthVersionMax="47" xr10:uidLastSave="{00000000-0000-0000-0000-000000000000}"/>
  <bookViews>
    <workbookView xWindow="-33840" yWindow="3075" windowWidth="28800" windowHeight="17265" xr2:uid="{00000000-000D-0000-FFFF-FFFF00000000}"/>
  </bookViews>
  <sheets>
    <sheet name="Processes_and_Commodities" sheetId="1" r:id="rId1"/>
    <sheet name="SUP" sheetId="4" r:id="rId2"/>
    <sheet name="ELC_IMP_EXP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D13" i="4" l="1"/>
  <c r="D14" i="4"/>
  <c r="D15" i="4"/>
  <c r="D10" i="4"/>
  <c r="D11" i="4"/>
  <c r="D7" i="4"/>
  <c r="D12" i="4"/>
  <c r="D17" i="4"/>
  <c r="D8" i="4"/>
  <c r="D6" i="4"/>
  <c r="D5" i="4"/>
  <c r="D16" i="4"/>
  <c r="D9" i="4"/>
  <c r="D6" i="1"/>
  <c r="C6" i="4" s="1"/>
  <c r="D7" i="1"/>
  <c r="C7" i="4" s="1"/>
  <c r="D8" i="1"/>
  <c r="C8" i="4" s="1"/>
  <c r="D9" i="1"/>
  <c r="C9" i="4" s="1"/>
  <c r="D10" i="1"/>
  <c r="C10" i="4" s="1"/>
  <c r="D11" i="1"/>
  <c r="C11" i="4" s="1"/>
  <c r="D12" i="1"/>
  <c r="C17" i="4" s="1"/>
  <c r="D13" i="1"/>
  <c r="C12" i="4" s="1"/>
  <c r="D14" i="1"/>
  <c r="C13" i="4" s="1"/>
  <c r="D15" i="1"/>
  <c r="C14" i="4" s="1"/>
  <c r="D16" i="1"/>
  <c r="C15" i="4" s="1"/>
  <c r="D17" i="1"/>
  <c r="C16" i="4" s="1"/>
  <c r="D5" i="1"/>
  <c r="C5" i="4" s="1"/>
  <c r="C6" i="1"/>
  <c r="B6" i="4" s="1"/>
  <c r="C7" i="1"/>
  <c r="B7" i="4" s="1"/>
  <c r="C8" i="1"/>
  <c r="B8" i="4" s="1"/>
  <c r="C9" i="1"/>
  <c r="B9" i="4" s="1"/>
  <c r="C10" i="1"/>
  <c r="B10" i="4" s="1"/>
  <c r="C11" i="1"/>
  <c r="B11" i="4" s="1"/>
  <c r="C12" i="1"/>
  <c r="B17" i="4" s="1"/>
  <c r="C13" i="1"/>
  <c r="B12" i="4" s="1"/>
  <c r="C14" i="1"/>
  <c r="B13" i="4" s="1"/>
  <c r="C15" i="1"/>
  <c r="B14" i="4" s="1"/>
  <c r="C16" i="1"/>
  <c r="B15" i="4" s="1"/>
  <c r="C17" i="1"/>
  <c r="B16" i="4" s="1"/>
  <c r="C5" i="1"/>
  <c r="B5" i="4" s="1"/>
</calcChain>
</file>

<file path=xl/sharedStrings.xml><?xml version="1.0" encoding="utf-8"?>
<sst xmlns="http://schemas.openxmlformats.org/spreadsheetml/2006/main" count="234" uniqueCount="103">
  <si>
    <t>~FI_Comm</t>
  </si>
  <si>
    <t>~FI_Process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</si>
  <si>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</si>
  <si>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</si>
  <si>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</si>
  <si>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</si>
  <si>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</si>
  <si>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</si>
  <si>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</si>
  <si>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</si>
  <si>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</si>
  <si>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</si>
  <si>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</si>
  <si>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</si>
  <si>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</si>
  <si>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</si>
  <si>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</si>
  <si>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</si>
  <si>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\I: Commodity set</t>
  </si>
  <si>
    <t>Commodity name</t>
  </si>
  <si>
    <t>Description</t>
  </si>
  <si>
    <t>\I: Process Set Membership</t>
  </si>
  <si>
    <t>Technology name</t>
  </si>
  <si>
    <t>Activity unit</t>
  </si>
  <si>
    <t>Capacity unit</t>
  </si>
  <si>
    <t>TimeSlice level of Process Activity</t>
  </si>
  <si>
    <t>Primary Commodity Group</t>
  </si>
  <si>
    <t>Vintage Tracking</t>
  </si>
  <si>
    <t>NRG</t>
  </si>
  <si>
    <t>PJ</t>
  </si>
  <si>
    <t>COA</t>
  </si>
  <si>
    <t>GEO</t>
  </si>
  <si>
    <t>NUC</t>
  </si>
  <si>
    <t>MIN</t>
  </si>
  <si>
    <t>~FI_T</t>
  </si>
  <si>
    <t>COMM-OUT</t>
  </si>
  <si>
    <t>MSW</t>
  </si>
  <si>
    <t>Municipal Solid Waste</t>
  </si>
  <si>
    <t>Wind OffShore</t>
  </si>
  <si>
    <t>WNO</t>
  </si>
  <si>
    <t>IMP</t>
  </si>
  <si>
    <t>EXP</t>
  </si>
  <si>
    <t>PJa</t>
  </si>
  <si>
    <t>\I: DESCRIPTION</t>
  </si>
  <si>
    <t>*TechDesc</t>
  </si>
  <si>
    <t>Comm-OUT</t>
  </si>
  <si>
    <t>Technology Description</t>
  </si>
  <si>
    <t>Output Commodity</t>
  </si>
  <si>
    <t>~FI_T:IRE_PRICE</t>
  </si>
  <si>
    <t>Coal</t>
  </si>
  <si>
    <t xml:space="preserve">Natural Gas </t>
  </si>
  <si>
    <t>Distillate</t>
  </si>
  <si>
    <t>Nuclear</t>
  </si>
  <si>
    <t>Biomass / Wood</t>
  </si>
  <si>
    <t>Wind Onshore</t>
  </si>
  <si>
    <t>Geothermal</t>
  </si>
  <si>
    <t>Solar Thermal</t>
  </si>
  <si>
    <t>Solar PV</t>
  </si>
  <si>
    <t>ELCC</t>
  </si>
  <si>
    <t>DST</t>
  </si>
  <si>
    <t>BSL</t>
  </si>
  <si>
    <t>WAT</t>
  </si>
  <si>
    <t>SPV</t>
  </si>
  <si>
    <t>STH</t>
  </si>
  <si>
    <t>NGA</t>
  </si>
  <si>
    <t>RFO</t>
  </si>
  <si>
    <t>Residual Fuel Oil/Residual Low Sulfur</t>
  </si>
  <si>
    <r>
      <t xml:space="preserve">Water </t>
    </r>
    <r>
      <rPr>
        <sz val="11"/>
        <color rgb="FFFF0000"/>
        <rFont val="Calibri"/>
        <family val="2"/>
        <scheme val="minor"/>
      </rPr>
      <t>(Hydroelectric Conventional and Pump Storage)</t>
    </r>
  </si>
  <si>
    <t>COMM-IN</t>
  </si>
  <si>
    <t>PRC_CAPACT</t>
  </si>
  <si>
    <t>8760 GWh = 31.536 PJ</t>
  </si>
  <si>
    <t>GW</t>
  </si>
  <si>
    <t>~FI_T:PRC_RESID</t>
  </si>
  <si>
    <t>YEAR</t>
  </si>
  <si>
    <t>Unit: GW</t>
  </si>
  <si>
    <t>COMMODITY</t>
  </si>
  <si>
    <t>OTHER_INDEXES</t>
  </si>
  <si>
    <t>\I: DESCRIPTION: cost $/PJ</t>
  </si>
  <si>
    <t>NCAP_BND~2020</t>
  </si>
  <si>
    <t>NCAP_BND~0</t>
  </si>
  <si>
    <t>WNF</t>
  </si>
  <si>
    <t>NCAP_AF</t>
  </si>
  <si>
    <t>ACT_BND~2020</t>
  </si>
  <si>
    <t>ACT_BND~2021</t>
  </si>
  <si>
    <t>ACT_BND~2022</t>
  </si>
  <si>
    <t>ACT_BND~0</t>
  </si>
  <si>
    <t>Region</t>
  </si>
  <si>
    <t>Technology Name</t>
  </si>
  <si>
    <t>MINMSW</t>
  </si>
  <si>
    <t>Primary Supply of Municipal Solid Waste</t>
  </si>
  <si>
    <t>\I: Region</t>
  </si>
  <si>
    <t>Process Set Membership</t>
  </si>
  <si>
    <t>IE</t>
  </si>
  <si>
    <t>NI</t>
  </si>
  <si>
    <t>IMP_ELC_SCT</t>
  </si>
  <si>
    <t>EXP_ELC_SCT</t>
  </si>
  <si>
    <t>IMP_ELC_ENG</t>
  </si>
  <si>
    <t>EXP_ELC_ENG</t>
  </si>
  <si>
    <t>Ireland</t>
  </si>
  <si>
    <t>North</t>
  </si>
  <si>
    <t>\I: *Units</t>
  </si>
  <si>
    <t>Northern Ireland</t>
  </si>
  <si>
    <t>\I: *Region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</si>
</sst>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Te\x\t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9"/>
      <color indexed="8"/>
      <name val="Calibri"/>
      <family val="2"/>
    </font>
    <font>
      <b/>
      <sz val="12"/>
      <color theme="9"/>
      <name val="Calibri"/>
      <family val="2"/>
      <scheme val="major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rgb="FFBFBFBF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10">
      <alignment wrapText="1"/>
    </xf>
  </cellStyleXfs>
  <cellXfs count="1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1" fillId="0" borderId="0" xfId="0" applyFont="1"/>
    <xf numFmtId="0" fontId="17" fillId="0" borderId="0" xfId="0" applyFont="1"/>
    <xf numFmtId="164" fontId="0" fillId="0" borderId="0" xfId="0" applyNumberFormat="1"/>
    <xf numFmtId="2" fontId="0" fillId="0" borderId="0" xfId="0" applyNumberFormat="1" applyAlignment="1">
      <alignment vertical="center"/>
    </xf>
    <xf numFmtId="2" fontId="0" fillId="33" borderId="0" xfId="0" applyNumberFormat="1" applyFill="1" applyAlignment="1">
      <alignment vertical="center"/>
    </xf>
    <xf numFmtId="0" fontId="2" fillId="0" borderId="0" xfId="0" applyFont="1"/>
    <xf numFmtId="0" fontId="20" fillId="0" borderId="0" xfId="0" applyFont="1"/>
    <xf numFmtId="165" fontId="25" fillId="0" borderId="0" xfId="0" applyNumberFormat="1" applyFont="1"/>
    <xf numFmtId="0" fontId="26" fillId="34" borderId="0" xfId="0" applyFont="1" applyFill="1"/>
    <xf numFmtId="0" fontId="20" fillId="35" borderId="0" xfId="0" applyFont="1" applyFill="1"/>
    <xf numFmtId="0" fontId="20" fillId="36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Body: normal cell" xfId="42" xr:uid="{A99396D7-CD71-47A6-B4B8-996A67E5720C}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ESMA_Excel_Theme">
  <a:themeElements>
    <a:clrScheme name="ESMA">
      <a:dk1>
        <a:sysClr val="windowText" lastClr="000000"/>
      </a:dk1>
      <a:lt1>
        <a:sysClr val="window" lastClr="FFFFFF"/>
      </a:lt1>
      <a:dk2>
        <a:srgbClr val="004539"/>
      </a:dk2>
      <a:lt2>
        <a:srgbClr val="EAAA00"/>
      </a:lt2>
      <a:accent1>
        <a:srgbClr val="00A3CB"/>
      </a:accent1>
      <a:accent2>
        <a:srgbClr val="10CFC9"/>
      </a:accent2>
      <a:accent3>
        <a:srgbClr val="6E7C7C"/>
      </a:accent3>
      <a:accent4>
        <a:srgbClr val="00C463"/>
      </a:accent4>
      <a:accent5>
        <a:srgbClr val="AFE1DA"/>
      </a:accent5>
      <a:accent6>
        <a:srgbClr val="FF6A1F"/>
      </a:accent6>
      <a:hlink>
        <a:srgbClr val="00A3CB"/>
      </a:hlink>
      <a:folHlink>
        <a:srgbClr val="10CFC9"/>
      </a:folHlink>
    </a:clrScheme>
    <a:fontScheme name="ESMA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2"/>
  </sheetPr>
  <dimension ref="A1:S65"/>
  <sheetViews>
    <sheetView tabSelected="1" workbookViewId="0">
      <selection activeCell="A4" sqref="A4:I4"/>
    </sheetView>
  </sheetViews>
  <sheetFormatPr defaultRowHeight="15" x14ac:dyDescent="0.25"/>
  <cols>
    <col min="1" max="1" width="12.140625" bestFit="1" customWidth="1"/>
    <col min="2" max="2" width="20.42578125" bestFit="1" customWidth="1"/>
    <col min="3" max="3" width="14.7109375" bestFit="1" customWidth="1"/>
    <col min="4" max="4" width="66.7109375" bestFit="1" customWidth="1"/>
    <col min="5" max="5" width="10.42578125" bestFit="1" customWidth="1"/>
    <col min="6" max="6" width="11.42578125" bestFit="1" customWidth="1"/>
    <col min="7" max="7" width="28" bestFit="1" customWidth="1"/>
    <col min="8" max="8" width="22.28515625" bestFit="1" customWidth="1"/>
    <col min="9" max="9" width="14.140625" bestFit="1" customWidth="1"/>
    <col min="11" max="11" width="13.140625" customWidth="1"/>
    <col min="12" max="12" width="14.85546875" bestFit="1" customWidth="1"/>
    <col min="13" max="13" width="14.7109375" bestFit="1" customWidth="1"/>
    <col min="14" max="14" width="50.140625" bestFit="1" customWidth="1"/>
    <col min="15" max="15" width="4.85546875" bestFit="1" customWidth="1"/>
    <col min="16" max="16" width="8.42578125" bestFit="1" customWidth="1"/>
    <col min="17" max="17" width="6.5703125" bestFit="1" customWidth="1"/>
    <col min="18" max="18" width="7.28515625" bestFit="1" customWidth="1"/>
    <col min="19" max="19" width="6.140625" bestFit="1" customWidth="1"/>
  </cols>
  <sheetData>
    <row r="1" spans="1:19" ht="15.75" x14ac:dyDescent="0.25">
      <c r="A1" s="11" t="s">
        <v>1</v>
      </c>
      <c r="L1" s="11" t="s">
        <v>0</v>
      </c>
    </row>
    <row r="2" spans="1:19" x14ac:dyDescent="0.25">
      <c r="A2" s="12" t="s">
        <v>86</v>
      </c>
      <c r="B2" s="12" t="s">
        <v>10</v>
      </c>
      <c r="C2" s="12" t="s">
        <v>11</v>
      </c>
      <c r="D2" s="12" t="s">
        <v>12</v>
      </c>
      <c r="E2" s="12" t="s">
        <v>13</v>
      </c>
      <c r="F2" s="12" t="s">
        <v>14</v>
      </c>
      <c r="G2" s="12" t="s">
        <v>15</v>
      </c>
      <c r="H2" s="12" t="s">
        <v>16</v>
      </c>
      <c r="I2" s="12" t="s">
        <v>17</v>
      </c>
      <c r="L2" s="12" t="s">
        <v>2</v>
      </c>
      <c r="M2" s="12" t="s">
        <v>3</v>
      </c>
      <c r="N2" s="12" t="s">
        <v>4</v>
      </c>
      <c r="O2" s="12" t="s">
        <v>5</v>
      </c>
      <c r="P2" s="12" t="s">
        <v>6</v>
      </c>
      <c r="Q2" s="12" t="s">
        <v>7</v>
      </c>
      <c r="R2" s="12" t="s">
        <v>8</v>
      </c>
      <c r="S2" s="12" t="s">
        <v>9</v>
      </c>
    </row>
    <row r="3" spans="1:19" x14ac:dyDescent="0.25">
      <c r="A3" s="13" t="s">
        <v>90</v>
      </c>
      <c r="B3" s="13" t="s">
        <v>91</v>
      </c>
      <c r="C3" s="13" t="s">
        <v>22</v>
      </c>
      <c r="D3" s="13" t="s">
        <v>20</v>
      </c>
      <c r="E3" s="13" t="s">
        <v>23</v>
      </c>
      <c r="F3" s="13" t="s">
        <v>24</v>
      </c>
      <c r="G3" s="13" t="s">
        <v>25</v>
      </c>
      <c r="H3" s="13" t="s">
        <v>26</v>
      </c>
      <c r="I3" s="13" t="s">
        <v>27</v>
      </c>
      <c r="L3" s="13" t="s">
        <v>18</v>
      </c>
      <c r="M3" s="13" t="s">
        <v>19</v>
      </c>
      <c r="N3" s="13" t="s">
        <v>20</v>
      </c>
      <c r="O3" s="13"/>
      <c r="P3" s="13"/>
      <c r="Q3" s="13"/>
      <c r="R3" s="13"/>
      <c r="S3" s="13"/>
    </row>
    <row r="4" spans="1:19" x14ac:dyDescent="0.25">
      <c r="A4" s="14" t="s">
        <v>100</v>
      </c>
      <c r="B4" s="14"/>
      <c r="C4" s="14"/>
      <c r="D4" s="14"/>
      <c r="E4" s="14"/>
      <c r="F4" s="14"/>
      <c r="G4" s="14"/>
      <c r="H4" s="14"/>
      <c r="I4" s="14"/>
      <c r="L4" s="14" t="s">
        <v>100</v>
      </c>
      <c r="M4" s="14"/>
      <c r="N4" s="14"/>
      <c r="O4" s="14"/>
      <c r="P4" s="14"/>
      <c r="Q4" s="14"/>
      <c r="R4" s="14"/>
      <c r="S4" s="14"/>
    </row>
    <row r="5" spans="1:19" x14ac:dyDescent="0.25">
      <c r="B5" t="s">
        <v>33</v>
      </c>
      <c r="C5" t="str">
        <f t="shared" ref="C5:C17" si="0">_xlfn.TEXTJOIN("",TRUE,B5,M5)</f>
        <v>MINCOA</v>
      </c>
      <c r="D5" t="str">
        <f>_xlfn.TEXTJOIN(" ",TRUE,"Primary Supply of",N5)</f>
        <v>Primary Supply of Coal</v>
      </c>
      <c r="E5" t="s">
        <v>29</v>
      </c>
      <c r="F5" t="s">
        <v>42</v>
      </c>
      <c r="L5" t="s">
        <v>28</v>
      </c>
      <c r="M5" t="s">
        <v>30</v>
      </c>
      <c r="N5" t="s">
        <v>49</v>
      </c>
      <c r="O5" t="s">
        <v>29</v>
      </c>
    </row>
    <row r="6" spans="1:19" x14ac:dyDescent="0.25">
      <c r="B6" t="s">
        <v>33</v>
      </c>
      <c r="C6" t="str">
        <f t="shared" si="0"/>
        <v>MINNGA</v>
      </c>
      <c r="D6" t="str">
        <f t="shared" ref="D6:D17" si="1">_xlfn.TEXTJOIN(" ",TRUE,"Primary Supply of",N6)</f>
        <v xml:space="preserve">Primary Supply of Natural Gas </v>
      </c>
      <c r="E6" t="s">
        <v>29</v>
      </c>
      <c r="F6" t="s">
        <v>42</v>
      </c>
      <c r="L6" t="s">
        <v>28</v>
      </c>
      <c r="M6" t="s">
        <v>64</v>
      </c>
      <c r="N6" t="s">
        <v>50</v>
      </c>
      <c r="O6" t="s">
        <v>29</v>
      </c>
    </row>
    <row r="7" spans="1:19" x14ac:dyDescent="0.25">
      <c r="B7" t="s">
        <v>33</v>
      </c>
      <c r="C7" t="str">
        <f t="shared" si="0"/>
        <v>MINGEO</v>
      </c>
      <c r="D7" t="str">
        <f t="shared" si="1"/>
        <v>Primary Supply of Geothermal</v>
      </c>
      <c r="E7" t="s">
        <v>29</v>
      </c>
      <c r="F7" t="s">
        <v>42</v>
      </c>
      <c r="L7" t="s">
        <v>28</v>
      </c>
      <c r="M7" t="s">
        <v>31</v>
      </c>
      <c r="N7" t="s">
        <v>55</v>
      </c>
      <c r="O7" t="s">
        <v>29</v>
      </c>
    </row>
    <row r="8" spans="1:19" x14ac:dyDescent="0.25">
      <c r="B8" t="s">
        <v>33</v>
      </c>
      <c r="C8" t="str">
        <f t="shared" si="0"/>
        <v>MINNUC</v>
      </c>
      <c r="D8" t="str">
        <f t="shared" si="1"/>
        <v>Primary Supply of Nuclear</v>
      </c>
      <c r="E8" t="s">
        <v>29</v>
      </c>
      <c r="F8" t="s">
        <v>42</v>
      </c>
      <c r="L8" t="s">
        <v>28</v>
      </c>
      <c r="M8" t="s">
        <v>32</v>
      </c>
      <c r="N8" t="s">
        <v>52</v>
      </c>
      <c r="O8" t="s">
        <v>29</v>
      </c>
    </row>
    <row r="9" spans="1:19" x14ac:dyDescent="0.25">
      <c r="B9" t="s">
        <v>33</v>
      </c>
      <c r="C9" t="str">
        <f t="shared" si="0"/>
        <v>MINDST</v>
      </c>
      <c r="D9" t="str">
        <f t="shared" si="1"/>
        <v>Primary Supply of Distillate</v>
      </c>
      <c r="E9" t="s">
        <v>29</v>
      </c>
      <c r="F9" t="s">
        <v>42</v>
      </c>
      <c r="L9" t="s">
        <v>28</v>
      </c>
      <c r="M9" t="s">
        <v>59</v>
      </c>
      <c r="N9" t="s">
        <v>51</v>
      </c>
      <c r="O9" t="s">
        <v>29</v>
      </c>
    </row>
    <row r="10" spans="1:19" x14ac:dyDescent="0.25">
      <c r="B10" t="s">
        <v>33</v>
      </c>
      <c r="C10" t="str">
        <f t="shared" si="0"/>
        <v>MINWNO</v>
      </c>
      <c r="D10" t="str">
        <f t="shared" si="1"/>
        <v>Primary Supply of Wind Onshore</v>
      </c>
      <c r="E10" t="s">
        <v>29</v>
      </c>
      <c r="F10" t="s">
        <v>42</v>
      </c>
      <c r="L10" t="s">
        <v>28</v>
      </c>
      <c r="M10" t="s">
        <v>39</v>
      </c>
      <c r="N10" t="s">
        <v>54</v>
      </c>
      <c r="O10" t="s">
        <v>29</v>
      </c>
    </row>
    <row r="11" spans="1:19" x14ac:dyDescent="0.25">
      <c r="B11" t="s">
        <v>33</v>
      </c>
      <c r="C11" t="str">
        <f t="shared" si="0"/>
        <v>MINWNF</v>
      </c>
      <c r="D11" t="str">
        <f t="shared" si="1"/>
        <v>Primary Supply of Wind OffShore</v>
      </c>
      <c r="E11" t="s">
        <v>29</v>
      </c>
      <c r="F11" t="s">
        <v>42</v>
      </c>
      <c r="L11" t="s">
        <v>28</v>
      </c>
      <c r="M11" s="1" t="s">
        <v>80</v>
      </c>
      <c r="N11" t="s">
        <v>38</v>
      </c>
      <c r="O11" t="s">
        <v>29</v>
      </c>
    </row>
    <row r="12" spans="1:19" x14ac:dyDescent="0.25">
      <c r="A12" t="str">
        <f>_xlfn.TEXTJOIN(",",TRUE,SUP!A17:A34)</f>
        <v>IE,NI</v>
      </c>
      <c r="B12" t="s">
        <v>33</v>
      </c>
      <c r="C12" t="str">
        <f t="shared" si="0"/>
        <v>MINMSW</v>
      </c>
      <c r="D12" t="str">
        <f t="shared" si="1"/>
        <v>Primary Supply of Municipal Solid Waste</v>
      </c>
      <c r="E12" t="s">
        <v>29</v>
      </c>
      <c r="F12" t="s">
        <v>42</v>
      </c>
      <c r="L12" t="s">
        <v>28</v>
      </c>
      <c r="M12" s="1" t="s">
        <v>36</v>
      </c>
      <c r="N12" s="1" t="s">
        <v>37</v>
      </c>
      <c r="O12" t="s">
        <v>29</v>
      </c>
    </row>
    <row r="13" spans="1:19" x14ac:dyDescent="0.25">
      <c r="B13" t="s">
        <v>33</v>
      </c>
      <c r="C13" t="str">
        <f t="shared" si="0"/>
        <v>MINBSL</v>
      </c>
      <c r="D13" t="str">
        <f t="shared" si="1"/>
        <v>Primary Supply of Biomass / Wood</v>
      </c>
      <c r="E13" t="s">
        <v>29</v>
      </c>
      <c r="F13" t="s">
        <v>42</v>
      </c>
      <c r="L13" t="s">
        <v>28</v>
      </c>
      <c r="M13" t="s">
        <v>60</v>
      </c>
      <c r="N13" t="s">
        <v>53</v>
      </c>
      <c r="O13" t="s">
        <v>29</v>
      </c>
    </row>
    <row r="14" spans="1:19" x14ac:dyDescent="0.25">
      <c r="B14" t="s">
        <v>33</v>
      </c>
      <c r="C14" t="str">
        <f t="shared" si="0"/>
        <v>MINWAT</v>
      </c>
      <c r="D14" t="str">
        <f t="shared" si="1"/>
        <v>Primary Supply of Water (Hydroelectric Conventional and Pump Storage)</v>
      </c>
      <c r="E14" t="s">
        <v>29</v>
      </c>
      <c r="F14" t="s">
        <v>42</v>
      </c>
      <c r="L14" t="s">
        <v>28</v>
      </c>
      <c r="M14" t="s">
        <v>61</v>
      </c>
      <c r="N14" t="s">
        <v>67</v>
      </c>
      <c r="O14" t="s">
        <v>29</v>
      </c>
    </row>
    <row r="15" spans="1:19" x14ac:dyDescent="0.25">
      <c r="B15" t="s">
        <v>33</v>
      </c>
      <c r="C15" t="str">
        <f t="shared" si="0"/>
        <v>MINSPV</v>
      </c>
      <c r="D15" t="str">
        <f t="shared" si="1"/>
        <v>Primary Supply of Solar PV</v>
      </c>
      <c r="E15" t="s">
        <v>29</v>
      </c>
      <c r="F15" t="s">
        <v>42</v>
      </c>
      <c r="L15" t="s">
        <v>28</v>
      </c>
      <c r="M15" t="s">
        <v>62</v>
      </c>
      <c r="N15" t="s">
        <v>57</v>
      </c>
      <c r="O15" t="s">
        <v>29</v>
      </c>
    </row>
    <row r="16" spans="1:19" x14ac:dyDescent="0.25">
      <c r="B16" t="s">
        <v>33</v>
      </c>
      <c r="C16" t="str">
        <f t="shared" si="0"/>
        <v>MINSTH</v>
      </c>
      <c r="D16" t="str">
        <f t="shared" si="1"/>
        <v>Primary Supply of Solar Thermal</v>
      </c>
      <c r="E16" t="s">
        <v>29</v>
      </c>
      <c r="F16" t="s">
        <v>42</v>
      </c>
      <c r="L16" t="s">
        <v>28</v>
      </c>
      <c r="M16" t="s">
        <v>63</v>
      </c>
      <c r="N16" t="s">
        <v>56</v>
      </c>
      <c r="O16" t="s">
        <v>29</v>
      </c>
    </row>
    <row r="17" spans="2:15" x14ac:dyDescent="0.25">
      <c r="B17" t="s">
        <v>33</v>
      </c>
      <c r="C17" t="str">
        <f t="shared" si="0"/>
        <v>MINRFO</v>
      </c>
      <c r="D17" t="str">
        <f t="shared" si="1"/>
        <v>Primary Supply of Residual Fuel Oil/Residual Low Sulfur</v>
      </c>
      <c r="E17" t="s">
        <v>29</v>
      </c>
      <c r="F17" t="s">
        <v>42</v>
      </c>
      <c r="L17" t="s">
        <v>28</v>
      </c>
      <c r="M17" t="s">
        <v>65</v>
      </c>
      <c r="N17" t="s">
        <v>66</v>
      </c>
      <c r="O17" t="s">
        <v>29</v>
      </c>
    </row>
    <row r="30" spans="2:15" x14ac:dyDescent="0.25">
      <c r="H30" s="5"/>
    </row>
    <row r="33" spans="8:15" x14ac:dyDescent="0.25">
      <c r="H33" s="1"/>
    </row>
    <row r="40" spans="8:15" x14ac:dyDescent="0.25">
      <c r="O40" s="1"/>
    </row>
    <row r="41" spans="8:15" x14ac:dyDescent="0.25">
      <c r="O41" s="1"/>
    </row>
    <row r="44" spans="8:15" x14ac:dyDescent="0.25">
      <c r="O44" s="1"/>
    </row>
    <row r="47" spans="8:15" x14ac:dyDescent="0.25">
      <c r="L47" s="2"/>
      <c r="N47" s="1"/>
    </row>
    <row r="48" spans="8:15" x14ac:dyDescent="0.25">
      <c r="L48" s="1"/>
      <c r="M48" s="1"/>
      <c r="N48" s="1"/>
    </row>
    <row r="49" spans="12:14" x14ac:dyDescent="0.25">
      <c r="L49" s="1"/>
      <c r="M49" s="1"/>
      <c r="N49" s="1"/>
    </row>
    <row r="50" spans="12:14" x14ac:dyDescent="0.25">
      <c r="L50" s="1"/>
      <c r="M50" s="1"/>
      <c r="N50" s="1"/>
    </row>
    <row r="51" spans="12:14" x14ac:dyDescent="0.25">
      <c r="L51" s="1"/>
      <c r="M51" s="1"/>
      <c r="N51" s="1"/>
    </row>
    <row r="52" spans="12:14" x14ac:dyDescent="0.25">
      <c r="L52" s="1"/>
      <c r="M52" s="1"/>
      <c r="N52" s="1"/>
    </row>
    <row r="54" spans="12:14" x14ac:dyDescent="0.25">
      <c r="L54" s="1"/>
      <c r="M54" s="1"/>
      <c r="N54" s="1"/>
    </row>
    <row r="55" spans="12:14" x14ac:dyDescent="0.25">
      <c r="L55" s="1"/>
      <c r="M55" s="1"/>
      <c r="N55" s="1"/>
    </row>
    <row r="56" spans="12:14" x14ac:dyDescent="0.25">
      <c r="L56" s="1"/>
      <c r="M56" s="1"/>
      <c r="N56" s="1"/>
    </row>
    <row r="57" spans="12:14" x14ac:dyDescent="0.25">
      <c r="L57" s="1"/>
      <c r="M57" s="1"/>
      <c r="N57" s="1"/>
    </row>
    <row r="58" spans="12:14" x14ac:dyDescent="0.25">
      <c r="L58" s="1"/>
      <c r="M58" s="1"/>
      <c r="N58" s="1"/>
    </row>
    <row r="59" spans="12:14" x14ac:dyDescent="0.25">
      <c r="L59" s="1"/>
      <c r="M59" s="1"/>
      <c r="N59" s="1"/>
    </row>
    <row r="60" spans="12:14" x14ac:dyDescent="0.25">
      <c r="L60" s="1"/>
      <c r="M60" s="1"/>
      <c r="N60" s="1"/>
    </row>
    <row r="64" spans="12:14" x14ac:dyDescent="0.25">
      <c r="L64" s="1"/>
      <c r="M64" s="1"/>
      <c r="N64" s="1"/>
    </row>
    <row r="65" spans="12:14" x14ac:dyDescent="0.25">
      <c r="L65" s="1"/>
      <c r="M65" s="1"/>
      <c r="N6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0EE57-976A-4D89-9408-85BCF79E83AB}">
  <sheetPr codeName="Sheet3">
    <tabColor rgb="FFFFFF00"/>
  </sheetPr>
  <dimension ref="A1:I58"/>
  <sheetViews>
    <sheetView zoomScaleNormal="100" workbookViewId="0">
      <selection activeCell="C38" sqref="C38"/>
    </sheetView>
  </sheetViews>
  <sheetFormatPr defaultColWidth="9.140625" defaultRowHeight="15" x14ac:dyDescent="0.25"/>
  <cols>
    <col min="1" max="1" width="9.28515625" style="1" bestFit="1" customWidth="1"/>
    <col min="2" max="2" width="14.85546875" style="1" bestFit="1" customWidth="1"/>
    <col min="3" max="3" width="66.7109375" style="1" bestFit="1" customWidth="1"/>
    <col min="4" max="4" width="15.85546875" style="1" bestFit="1" customWidth="1"/>
    <col min="5" max="5" width="9.28515625" style="1" bestFit="1" customWidth="1"/>
    <col min="6" max="8" width="14.42578125" style="1" bestFit="1" customWidth="1"/>
    <col min="9" max="9" width="11.28515625" style="1" bestFit="1" customWidth="1"/>
    <col min="10" max="16384" width="9.140625" style="1"/>
  </cols>
  <sheetData>
    <row r="1" spans="1:9" ht="15.75" x14ac:dyDescent="0.25">
      <c r="A1" s="11" t="s">
        <v>34</v>
      </c>
      <c r="B1"/>
      <c r="C1"/>
      <c r="D1"/>
      <c r="E1"/>
      <c r="F1"/>
      <c r="G1"/>
      <c r="H1"/>
      <c r="I1" s="11"/>
    </row>
    <row r="2" spans="1:9" x14ac:dyDescent="0.25">
      <c r="A2" s="12" t="s">
        <v>86</v>
      </c>
      <c r="B2" s="12" t="s">
        <v>11</v>
      </c>
      <c r="C2" s="12" t="s">
        <v>44</v>
      </c>
      <c r="D2" s="12" t="s">
        <v>45</v>
      </c>
      <c r="E2" s="12" t="s">
        <v>81</v>
      </c>
      <c r="F2" s="12" t="s">
        <v>82</v>
      </c>
      <c r="G2" s="12" t="s">
        <v>83</v>
      </c>
      <c r="H2" s="12" t="s">
        <v>84</v>
      </c>
      <c r="I2" s="12" t="s">
        <v>85</v>
      </c>
    </row>
    <row r="3" spans="1:9" x14ac:dyDescent="0.2">
      <c r="A3" s="13" t="s">
        <v>102</v>
      </c>
      <c r="B3" s="13" t="s">
        <v>87</v>
      </c>
      <c r="C3" s="13" t="s">
        <v>46</v>
      </c>
      <c r="D3" s="13" t="s">
        <v>47</v>
      </c>
      <c r="E3" s="13"/>
      <c r="F3" s="13" t="s">
        <v>29</v>
      </c>
      <c r="G3" s="13" t="s">
        <v>29</v>
      </c>
      <c r="H3" s="13" t="s">
        <v>29</v>
      </c>
      <c r="I3" s="13"/>
    </row>
    <row r="4" spans="1:9" x14ac:dyDescent="0.2">
      <c r="A4" s="14" t="s">
        <v>100</v>
      </c>
      <c r="B4" s="14"/>
      <c r="C4" s="14"/>
      <c r="D4" s="14"/>
      <c r="E4" s="14"/>
      <c r="F4" s="14"/>
      <c r="G4" s="14"/>
      <c r="H4" s="14"/>
      <c r="I4" s="14"/>
    </row>
    <row r="5" spans="1:9" x14ac:dyDescent="0.25">
      <c r="B5" s="1" t="str">
        <f>Processes_and_Commodities!C5</f>
        <v>MINCOA</v>
      </c>
      <c r="C5" s="1" t="str">
        <f>Processes_and_Commodities!D5</f>
        <v>Primary Supply of Coal</v>
      </c>
      <c r="D5" t="str">
        <f>Processes_and_Commodities!M5</f>
        <v>COA</v>
      </c>
      <c r="E5">
        <v>1</v>
      </c>
    </row>
    <row r="6" spans="1:9" x14ac:dyDescent="0.25">
      <c r="B6" s="1" t="str">
        <f>Processes_and_Commodities!C6</f>
        <v>MINNGA</v>
      </c>
      <c r="C6" s="1" t="str">
        <f>Processes_and_Commodities!D6</f>
        <v xml:space="preserve">Primary Supply of Natural Gas </v>
      </c>
      <c r="D6" t="str">
        <f>Processes_and_Commodities!M6</f>
        <v>NGA</v>
      </c>
      <c r="E6">
        <v>1</v>
      </c>
    </row>
    <row r="7" spans="1:9" x14ac:dyDescent="0.25">
      <c r="B7" s="1" t="str">
        <f>Processes_and_Commodities!C7</f>
        <v>MINGEO</v>
      </c>
      <c r="C7" s="1" t="str">
        <f>Processes_and_Commodities!D7</f>
        <v>Primary Supply of Geothermal</v>
      </c>
      <c r="D7" t="str">
        <f>Processes_and_Commodities!M7</f>
        <v>GEO</v>
      </c>
      <c r="E7">
        <v>1</v>
      </c>
    </row>
    <row r="8" spans="1:9" x14ac:dyDescent="0.25">
      <c r="B8" s="1" t="str">
        <f>Processes_and_Commodities!C8</f>
        <v>MINNUC</v>
      </c>
      <c r="C8" s="1" t="str">
        <f>Processes_and_Commodities!D8</f>
        <v>Primary Supply of Nuclear</v>
      </c>
      <c r="D8" t="str">
        <f>Processes_and_Commodities!M8</f>
        <v>NUC</v>
      </c>
      <c r="E8">
        <v>1</v>
      </c>
    </row>
    <row r="9" spans="1:9" x14ac:dyDescent="0.25">
      <c r="B9" s="1" t="str">
        <f>Processes_and_Commodities!C9</f>
        <v>MINDST</v>
      </c>
      <c r="C9" t="str">
        <f>Processes_and_Commodities!D9</f>
        <v>Primary Supply of Distillate</v>
      </c>
      <c r="D9" t="str">
        <f>Processes_and_Commodities!M9</f>
        <v>DST</v>
      </c>
      <c r="E9">
        <v>1</v>
      </c>
    </row>
    <row r="10" spans="1:9" x14ac:dyDescent="0.25">
      <c r="B10" s="1" t="str">
        <f>Processes_and_Commodities!C10</f>
        <v>MINWNO</v>
      </c>
      <c r="C10" t="str">
        <f>Processes_and_Commodities!D10</f>
        <v>Primary Supply of Wind Onshore</v>
      </c>
      <c r="D10" t="str">
        <f>Processes_and_Commodities!M10</f>
        <v>WNO</v>
      </c>
      <c r="E10">
        <v>1</v>
      </c>
    </row>
    <row r="11" spans="1:9" x14ac:dyDescent="0.25">
      <c r="B11" s="1" t="str">
        <f>Processes_and_Commodities!C11</f>
        <v>MINWNF</v>
      </c>
      <c r="C11" t="str">
        <f>Processes_and_Commodities!D11</f>
        <v>Primary Supply of Wind OffShore</v>
      </c>
      <c r="D11" t="str">
        <f>Processes_and_Commodities!M11</f>
        <v>WNF</v>
      </c>
      <c r="E11">
        <v>1</v>
      </c>
    </row>
    <row r="12" spans="1:9" x14ac:dyDescent="0.25">
      <c r="B12" s="1" t="str">
        <f>Processes_and_Commodities!C13</f>
        <v>MINBSL</v>
      </c>
      <c r="C12" s="1" t="str">
        <f>Processes_and_Commodities!D13</f>
        <v>Primary Supply of Biomass / Wood</v>
      </c>
      <c r="D12" t="str">
        <f>Processes_and_Commodities!M13</f>
        <v>BSL</v>
      </c>
      <c r="E12">
        <v>1</v>
      </c>
    </row>
    <row r="13" spans="1:9" x14ac:dyDescent="0.25">
      <c r="B13" s="1" t="str">
        <f>Processes_and_Commodities!C14</f>
        <v>MINWAT</v>
      </c>
      <c r="C13" s="1" t="str">
        <f>Processes_and_Commodities!D14</f>
        <v>Primary Supply of Water (Hydroelectric Conventional and Pump Storage)</v>
      </c>
      <c r="D13" t="str">
        <f>Processes_and_Commodities!M14</f>
        <v>WAT</v>
      </c>
      <c r="E13">
        <v>1</v>
      </c>
    </row>
    <row r="14" spans="1:9" x14ac:dyDescent="0.25">
      <c r="B14" s="1" t="str">
        <f>Processes_and_Commodities!C15</f>
        <v>MINSPV</v>
      </c>
      <c r="C14" s="1" t="str">
        <f>Processes_and_Commodities!D15</f>
        <v>Primary Supply of Solar PV</v>
      </c>
      <c r="D14" t="str">
        <f>Processes_and_Commodities!M15</f>
        <v>SPV</v>
      </c>
      <c r="E14">
        <v>1</v>
      </c>
    </row>
    <row r="15" spans="1:9" x14ac:dyDescent="0.25">
      <c r="B15" s="1" t="str">
        <f>Processes_and_Commodities!C16</f>
        <v>MINSTH</v>
      </c>
      <c r="C15" s="1" t="str">
        <f>Processes_and_Commodities!D16</f>
        <v>Primary Supply of Solar Thermal</v>
      </c>
      <c r="D15" t="str">
        <f>Processes_and_Commodities!M16</f>
        <v>STH</v>
      </c>
      <c r="E15">
        <v>1</v>
      </c>
    </row>
    <row r="16" spans="1:9" x14ac:dyDescent="0.25">
      <c r="B16" s="1" t="str">
        <f>Processes_and_Commodities!C17</f>
        <v>MINRFO</v>
      </c>
      <c r="C16" s="1" t="str">
        <f>Processes_and_Commodities!D17</f>
        <v>Primary Supply of Residual Fuel Oil/Residual Low Sulfur</v>
      </c>
      <c r="D16" t="str">
        <f>Processes_and_Commodities!M17</f>
        <v>RFO</v>
      </c>
      <c r="E16">
        <v>1</v>
      </c>
    </row>
    <row r="17" spans="1:9" x14ac:dyDescent="0.25">
      <c r="A17" s="1" t="s">
        <v>92</v>
      </c>
      <c r="B17" s="1" t="str">
        <f>Processes_and_Commodities!C12</f>
        <v>MINMSW</v>
      </c>
      <c r="C17" s="1" t="str">
        <f>Processes_and_Commodities!D12</f>
        <v>Primary Supply of Municipal Solid Waste</v>
      </c>
      <c r="D17" t="str">
        <f>Processes_and_Commodities!M12</f>
        <v>MSW</v>
      </c>
      <c r="E17">
        <v>1</v>
      </c>
      <c r="F17" s="8">
        <v>10.883946419373666</v>
      </c>
      <c r="G17" s="8">
        <v>10.306363479301588</v>
      </c>
      <c r="H17" s="8">
        <v>10.298821988727337</v>
      </c>
      <c r="I17" s="1">
        <v>5</v>
      </c>
    </row>
    <row r="18" spans="1:9" x14ac:dyDescent="0.25">
      <c r="A18" s="1" t="s">
        <v>93</v>
      </c>
      <c r="B18" s="1" t="s">
        <v>88</v>
      </c>
      <c r="C18" s="1" t="s">
        <v>89</v>
      </c>
      <c r="D18" s="1" t="s">
        <v>36</v>
      </c>
      <c r="E18" s="1">
        <v>1</v>
      </c>
      <c r="F18" s="8">
        <v>33.441606744265584</v>
      </c>
      <c r="G18" s="8">
        <v>32.595129241353497</v>
      </c>
      <c r="H18" s="8">
        <v>27.285186947570399</v>
      </c>
      <c r="I18" s="1">
        <v>5</v>
      </c>
    </row>
    <row r="19" spans="1:9" x14ac:dyDescent="0.25">
      <c r="F19" s="7"/>
      <c r="G19" s="7"/>
      <c r="H19" s="7"/>
    </row>
    <row r="20" spans="1:9" x14ac:dyDescent="0.25">
      <c r="F20" s="7"/>
      <c r="G20" s="7"/>
      <c r="H20" s="7"/>
    </row>
    <row r="21" spans="1:9" x14ac:dyDescent="0.25">
      <c r="F21" s="7"/>
      <c r="G21" s="7"/>
      <c r="H21" s="7"/>
    </row>
    <row r="22" spans="1:9" x14ac:dyDescent="0.25">
      <c r="F22" s="7"/>
      <c r="G22" s="7"/>
      <c r="H22" s="7"/>
    </row>
    <row r="23" spans="1:9" x14ac:dyDescent="0.25">
      <c r="F23" s="7"/>
      <c r="G23" s="7"/>
      <c r="H23" s="7"/>
    </row>
    <row r="24" spans="1:9" x14ac:dyDescent="0.25">
      <c r="F24" s="7"/>
      <c r="G24" s="7"/>
      <c r="H24" s="7"/>
    </row>
    <row r="25" spans="1:9" x14ac:dyDescent="0.25">
      <c r="F25" s="7"/>
      <c r="G25" s="7"/>
      <c r="H25" s="7"/>
    </row>
    <row r="26" spans="1:9" x14ac:dyDescent="0.25">
      <c r="F26" s="7"/>
      <c r="G26" s="7"/>
      <c r="H26" s="7"/>
    </row>
    <row r="27" spans="1:9" x14ac:dyDescent="0.25">
      <c r="F27" s="7"/>
      <c r="G27" s="7"/>
      <c r="H27" s="7"/>
    </row>
    <row r="28" spans="1:9" x14ac:dyDescent="0.25">
      <c r="F28" s="7"/>
      <c r="G28" s="7"/>
      <c r="H28" s="7"/>
    </row>
    <row r="29" spans="1:9" x14ac:dyDescent="0.25">
      <c r="F29" s="7"/>
      <c r="G29" s="7"/>
      <c r="H29" s="7"/>
    </row>
    <row r="30" spans="1:9" x14ac:dyDescent="0.25">
      <c r="F30" s="7"/>
      <c r="G30" s="7"/>
      <c r="H30" s="7"/>
    </row>
    <row r="31" spans="1:9" x14ac:dyDescent="0.25">
      <c r="F31" s="7"/>
      <c r="G31" s="7"/>
      <c r="H31" s="7"/>
    </row>
    <row r="32" spans="1:9" x14ac:dyDescent="0.25">
      <c r="F32" s="7"/>
      <c r="G32" s="7"/>
      <c r="H32" s="7"/>
    </row>
    <row r="33" spans="2:8" x14ac:dyDescent="0.25">
      <c r="F33" s="7"/>
      <c r="G33" s="7"/>
      <c r="H33" s="7"/>
    </row>
    <row r="34" spans="2:8" x14ac:dyDescent="0.25">
      <c r="F34" s="7"/>
      <c r="G34" s="7"/>
      <c r="H34" s="7"/>
    </row>
    <row r="35" spans="2:8" x14ac:dyDescent="0.25">
      <c r="B35"/>
      <c r="C35"/>
      <c r="D35"/>
    </row>
    <row r="36" spans="2:8" x14ac:dyDescent="0.25">
      <c r="B36"/>
      <c r="C36"/>
      <c r="D36"/>
    </row>
    <row r="37" spans="2:8" x14ac:dyDescent="0.25">
      <c r="B37"/>
      <c r="C37"/>
      <c r="D37"/>
    </row>
    <row r="38" spans="2:8" x14ac:dyDescent="0.25">
      <c r="B38"/>
      <c r="C38"/>
      <c r="D38"/>
    </row>
    <row r="39" spans="2:8" x14ac:dyDescent="0.25">
      <c r="B39"/>
      <c r="C39"/>
      <c r="D39"/>
    </row>
    <row r="44" spans="2:8" x14ac:dyDescent="0.25">
      <c r="B44"/>
      <c r="C44"/>
      <c r="D44"/>
    </row>
    <row r="45" spans="2:8" x14ac:dyDescent="0.25">
      <c r="B45"/>
      <c r="C45"/>
      <c r="D45"/>
    </row>
    <row r="46" spans="2:8" x14ac:dyDescent="0.25">
      <c r="B46"/>
      <c r="C46"/>
      <c r="D46"/>
    </row>
    <row r="47" spans="2:8" x14ac:dyDescent="0.25">
      <c r="B47"/>
      <c r="C47"/>
      <c r="D47"/>
    </row>
    <row r="48" spans="2:8" x14ac:dyDescent="0.25">
      <c r="B48"/>
      <c r="C48"/>
      <c r="D48"/>
    </row>
    <row r="49" spans="2:4" x14ac:dyDescent="0.25">
      <c r="B49"/>
      <c r="C49"/>
      <c r="D49"/>
    </row>
    <row r="50" spans="2:4" x14ac:dyDescent="0.25">
      <c r="B50"/>
      <c r="C50"/>
      <c r="D50"/>
    </row>
    <row r="51" spans="2:4" x14ac:dyDescent="0.25">
      <c r="B51"/>
      <c r="C51"/>
      <c r="D51"/>
    </row>
    <row r="52" spans="2:4" x14ac:dyDescent="0.25">
      <c r="B52"/>
      <c r="C52"/>
      <c r="D52"/>
    </row>
    <row r="53" spans="2:4" x14ac:dyDescent="0.25">
      <c r="B53"/>
      <c r="C53"/>
      <c r="D53"/>
    </row>
    <row r="54" spans="2:4" x14ac:dyDescent="0.25">
      <c r="B54"/>
      <c r="C54"/>
      <c r="D54"/>
    </row>
    <row r="55" spans="2:4" x14ac:dyDescent="0.25">
      <c r="B55"/>
      <c r="C55"/>
      <c r="D55"/>
    </row>
    <row r="56" spans="2:4" x14ac:dyDescent="0.25">
      <c r="B56"/>
      <c r="C56"/>
      <c r="D56"/>
    </row>
    <row r="57" spans="2:4" x14ac:dyDescent="0.25">
      <c r="B57"/>
      <c r="C57"/>
      <c r="D57"/>
    </row>
    <row r="58" spans="2:4" x14ac:dyDescent="0.25">
      <c r="B58"/>
      <c r="C58"/>
      <c r="D58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186DE-9B53-402B-B9EC-3CADFE25CA75}">
  <sheetPr codeName="Sheet5">
    <tabColor theme="2"/>
  </sheetPr>
  <dimension ref="A1:BB50"/>
  <sheetViews>
    <sheetView zoomScale="98" zoomScaleNormal="100" workbookViewId="0">
      <selection activeCell="P30" sqref="P30"/>
    </sheetView>
  </sheetViews>
  <sheetFormatPr defaultColWidth="9.140625" defaultRowHeight="15" x14ac:dyDescent="0.25"/>
  <cols>
    <col min="1" max="1" width="23.140625" style="1" bestFit="1" customWidth="1"/>
    <col min="2" max="2" width="15" style="1" bestFit="1" customWidth="1"/>
    <col min="3" max="3" width="10.28515625" style="1" bestFit="1" customWidth="1"/>
    <col min="4" max="4" width="10.5703125" style="1" bestFit="1" customWidth="1"/>
    <col min="5" max="5" width="11.7109375" style="1" bestFit="1" customWidth="1"/>
    <col min="6" max="6" width="8.42578125" style="1" bestFit="1" customWidth="1"/>
    <col min="7" max="7" width="13.85546875" style="1" bestFit="1" customWidth="1"/>
    <col min="8" max="8" width="10.42578125" style="1" bestFit="1" customWidth="1"/>
    <col min="9" max="9" width="8.85546875" style="1" bestFit="1" customWidth="1"/>
    <col min="10" max="10" width="19.140625" style="1" bestFit="1" customWidth="1"/>
    <col min="11" max="11" width="15" style="1" bestFit="1" customWidth="1"/>
    <col min="12" max="12" width="11.85546875" style="1" bestFit="1" customWidth="1"/>
    <col min="13" max="13" width="7.28515625" style="1" bestFit="1" customWidth="1"/>
    <col min="14" max="14" width="5.5703125" style="1" bestFit="1" customWidth="1"/>
    <col min="15" max="15" width="22.140625" style="1" bestFit="1" customWidth="1"/>
    <col min="16" max="16" width="11.42578125" style="1" bestFit="1" customWidth="1"/>
    <col min="17" max="17" width="13.85546875" style="1" bestFit="1" customWidth="1"/>
    <col min="18" max="18" width="15" style="1" bestFit="1" customWidth="1"/>
    <col min="19" max="19" width="9.140625" style="1" bestFit="1" customWidth="1"/>
    <col min="20" max="20" width="8.28515625" style="1" bestFit="1" customWidth="1"/>
    <col min="21" max="21" width="13.140625" style="1" bestFit="1" customWidth="1"/>
    <col min="22" max="22" width="8.85546875" style="1" bestFit="1" customWidth="1"/>
    <col min="23" max="23" width="6.42578125" style="1" bestFit="1" customWidth="1"/>
    <col min="24" max="24" width="13.85546875" style="1" bestFit="1" customWidth="1"/>
    <col min="25" max="25" width="15.7109375" style="1" bestFit="1" customWidth="1"/>
    <col min="26" max="26" width="9.140625" style="1" bestFit="1" customWidth="1"/>
    <col min="27" max="27" width="14.5703125" style="1" bestFit="1" customWidth="1"/>
    <col min="28" max="28" width="8.28515625" style="1" bestFit="1" customWidth="1"/>
    <col min="29" max="29" width="13" style="1" bestFit="1" customWidth="1"/>
    <col min="30" max="30" width="11.7109375" style="1" bestFit="1" customWidth="1"/>
    <col min="31" max="31" width="8.5703125" style="1" bestFit="1" customWidth="1"/>
    <col min="32" max="32" width="13.7109375" style="1" bestFit="1" customWidth="1"/>
    <col min="33" max="33" width="9.5703125" style="1" bestFit="1" customWidth="1"/>
    <col min="34" max="34" width="10.5703125" style="1" bestFit="1" customWidth="1"/>
    <col min="35" max="35" width="7" style="1" bestFit="1" customWidth="1"/>
    <col min="36" max="36" width="8.28515625" style="1" bestFit="1" customWidth="1"/>
    <col min="37" max="37" width="6.42578125" style="1" bestFit="1" customWidth="1"/>
    <col min="38" max="38" width="9.28515625" style="1" bestFit="1" customWidth="1"/>
    <col min="39" max="39" width="6.85546875" style="1" bestFit="1" customWidth="1"/>
    <col min="40" max="40" width="11.85546875" style="1" bestFit="1" customWidth="1"/>
    <col min="41" max="41" width="11.5703125" style="1" bestFit="1" customWidth="1"/>
    <col min="42" max="42" width="13" style="1" bestFit="1" customWidth="1"/>
    <col min="43" max="43" width="11.7109375" style="1" bestFit="1" customWidth="1"/>
    <col min="44" max="44" width="9.140625" style="1"/>
    <col min="45" max="45" width="5.85546875" style="1" bestFit="1" customWidth="1"/>
    <col min="46" max="46" width="6" style="1" bestFit="1" customWidth="1"/>
    <col min="47" max="47" width="7.42578125" style="1" bestFit="1" customWidth="1"/>
    <col min="48" max="48" width="7.7109375" style="1" bestFit="1" customWidth="1"/>
    <col min="49" max="49" width="10.7109375" style="1" bestFit="1" customWidth="1"/>
    <col min="50" max="50" width="9.5703125" style="1" bestFit="1" customWidth="1"/>
    <col min="51" max="51" width="12" style="1" bestFit="1" customWidth="1"/>
    <col min="52" max="52" width="8.5703125" style="1" bestFit="1" customWidth="1"/>
    <col min="53" max="16384" width="9.140625" style="1"/>
  </cols>
  <sheetData>
    <row r="1" spans="1:54" ht="15.75" x14ac:dyDescent="0.25">
      <c r="A1" s="11" t="s">
        <v>1</v>
      </c>
      <c r="B1"/>
      <c r="C1"/>
      <c r="D1"/>
      <c r="E1"/>
      <c r="G1" s="11" t="s">
        <v>34</v>
      </c>
      <c r="H1"/>
      <c r="I1"/>
      <c r="J1"/>
      <c r="K1"/>
      <c r="L1" s="11"/>
      <c r="O1" s="11" t="s">
        <v>48</v>
      </c>
      <c r="P1"/>
      <c r="Q1"/>
      <c r="R1"/>
      <c r="S1"/>
      <c r="T1" s="11"/>
      <c r="U1" s="11"/>
      <c r="X1" s="11" t="s">
        <v>72</v>
      </c>
      <c r="AA1"/>
      <c r="AB1"/>
    </row>
    <row r="2" spans="1:54" x14ac:dyDescent="0.25">
      <c r="A2" s="12" t="s">
        <v>10</v>
      </c>
      <c r="B2" s="12" t="s">
        <v>11</v>
      </c>
      <c r="C2" s="12" t="s">
        <v>12</v>
      </c>
      <c r="D2" s="12" t="s">
        <v>13</v>
      </c>
      <c r="E2" s="12" t="s">
        <v>14</v>
      </c>
      <c r="G2" s="12" t="s">
        <v>11</v>
      </c>
      <c r="H2" s="12" t="s">
        <v>35</v>
      </c>
      <c r="I2" s="12" t="s">
        <v>68</v>
      </c>
      <c r="J2" s="12" t="s">
        <v>69</v>
      </c>
      <c r="K2" s="12" t="s">
        <v>78</v>
      </c>
      <c r="L2" s="12" t="s">
        <v>79</v>
      </c>
      <c r="O2" s="12" t="s">
        <v>11</v>
      </c>
      <c r="P2" s="12" t="s">
        <v>75</v>
      </c>
      <c r="Q2" s="12" t="s">
        <v>76</v>
      </c>
      <c r="R2" s="12" t="s">
        <v>73</v>
      </c>
      <c r="S2" s="12" t="s">
        <v>92</v>
      </c>
      <c r="T2" s="12" t="s">
        <v>93</v>
      </c>
      <c r="U2" s="12"/>
      <c r="X2" s="12" t="s">
        <v>11</v>
      </c>
      <c r="Y2" s="12" t="s">
        <v>73</v>
      </c>
      <c r="Z2" s="12" t="s">
        <v>92</v>
      </c>
      <c r="AA2" s="12" t="s">
        <v>93</v>
      </c>
      <c r="AB2" s="12"/>
    </row>
    <row r="3" spans="1:54" x14ac:dyDescent="0.25">
      <c r="A3" s="13" t="s">
        <v>21</v>
      </c>
      <c r="B3" s="13" t="s">
        <v>22</v>
      </c>
      <c r="C3" s="13" t="s">
        <v>20</v>
      </c>
      <c r="D3" s="13" t="s">
        <v>23</v>
      </c>
      <c r="E3" s="13" t="s">
        <v>24</v>
      </c>
      <c r="G3" s="13" t="s">
        <v>43</v>
      </c>
      <c r="H3" s="13"/>
      <c r="I3" s="13"/>
      <c r="J3" s="13" t="s">
        <v>70</v>
      </c>
      <c r="K3" s="13"/>
      <c r="L3" s="13"/>
      <c r="M3" s="3"/>
      <c r="N3"/>
      <c r="O3" s="13" t="s">
        <v>77</v>
      </c>
      <c r="P3" s="13"/>
      <c r="Q3" s="13"/>
      <c r="R3" s="13"/>
      <c r="S3" s="13" t="s">
        <v>98</v>
      </c>
      <c r="T3" s="13" t="s">
        <v>99</v>
      </c>
      <c r="U3" s="13"/>
      <c r="X3" s="13" t="s">
        <v>43</v>
      </c>
      <c r="Y3" s="13" t="s">
        <v>74</v>
      </c>
      <c r="Z3" s="13" t="s">
        <v>98</v>
      </c>
      <c r="AA3" s="13" t="s">
        <v>101</v>
      </c>
      <c r="AB3" s="13"/>
    </row>
    <row r="4" spans="1:54" x14ac:dyDescent="0.25">
      <c r="A4" s="14" t="s">
        <v>100</v>
      </c>
      <c r="B4" s="14"/>
      <c r="C4" s="14"/>
      <c r="D4" s="14"/>
      <c r="E4" s="14"/>
      <c r="G4" s="14" t="s">
        <v>100</v>
      </c>
      <c r="H4" s="14"/>
      <c r="I4" s="14"/>
      <c r="J4" s="14"/>
      <c r="K4" s="14"/>
      <c r="L4" s="14"/>
      <c r="M4" s="3"/>
      <c r="N4"/>
      <c r="O4" s="14" t="s">
        <v>100</v>
      </c>
      <c r="P4" s="14"/>
      <c r="Q4" s="14"/>
      <c r="R4" s="14"/>
      <c r="S4" s="14"/>
      <c r="T4" s="14"/>
      <c r="U4" s="14"/>
      <c r="X4" s="14" t="s">
        <v>100</v>
      </c>
      <c r="Y4" s="14"/>
      <c r="Z4" s="14"/>
      <c r="AA4" s="14"/>
      <c r="AB4" s="14"/>
    </row>
    <row r="5" spans="1:54" x14ac:dyDescent="0.25">
      <c r="A5" t="s">
        <v>40</v>
      </c>
      <c r="B5" t="s">
        <v>94</v>
      </c>
      <c r="C5"/>
      <c r="D5" t="s">
        <v>29</v>
      </c>
      <c r="E5" t="s">
        <v>71</v>
      </c>
      <c r="G5" t="s">
        <v>94</v>
      </c>
      <c r="H5" t="s">
        <v>58</v>
      </c>
      <c r="I5"/>
      <c r="J5">
        <v>31.536000000000001</v>
      </c>
      <c r="K5">
        <v>0</v>
      </c>
      <c r="L5">
        <v>2</v>
      </c>
      <c r="O5" t="s">
        <v>94</v>
      </c>
      <c r="P5" t="s">
        <v>58</v>
      </c>
      <c r="Q5" t="s">
        <v>40</v>
      </c>
      <c r="R5" s="1">
        <v>2020</v>
      </c>
      <c r="S5"/>
      <c r="T5">
        <v>10.75</v>
      </c>
      <c r="U5"/>
      <c r="X5" t="s">
        <v>94</v>
      </c>
      <c r="Y5" s="1">
        <v>2020</v>
      </c>
      <c r="Z5"/>
      <c r="AA5">
        <v>2.6</v>
      </c>
      <c r="AB5"/>
    </row>
    <row r="6" spans="1:54" x14ac:dyDescent="0.25">
      <c r="A6" t="s">
        <v>40</v>
      </c>
      <c r="B6" t="s">
        <v>96</v>
      </c>
      <c r="C6"/>
      <c r="D6" t="s">
        <v>29</v>
      </c>
      <c r="E6" t="s">
        <v>71</v>
      </c>
      <c r="G6" t="s">
        <v>96</v>
      </c>
      <c r="H6" t="s">
        <v>58</v>
      </c>
      <c r="I6"/>
      <c r="J6">
        <v>31.536000000000001</v>
      </c>
      <c r="K6">
        <v>0</v>
      </c>
      <c r="L6">
        <v>2</v>
      </c>
      <c r="M6"/>
      <c r="O6" t="s">
        <v>96</v>
      </c>
      <c r="P6" t="s">
        <v>58</v>
      </c>
      <c r="Q6" t="s">
        <v>40</v>
      </c>
      <c r="R6" s="1">
        <v>2020</v>
      </c>
      <c r="S6">
        <v>32.5</v>
      </c>
      <c r="T6"/>
      <c r="U6"/>
      <c r="X6" t="s">
        <v>96</v>
      </c>
      <c r="Y6" s="1">
        <v>2020</v>
      </c>
      <c r="Z6">
        <v>0.8</v>
      </c>
      <c r="AA6"/>
      <c r="AB6"/>
    </row>
    <row r="7" spans="1:54" x14ac:dyDescent="0.25">
      <c r="A7" t="s">
        <v>41</v>
      </c>
      <c r="B7" t="s">
        <v>95</v>
      </c>
      <c r="C7"/>
      <c r="D7" t="s">
        <v>29</v>
      </c>
      <c r="E7" t="s">
        <v>71</v>
      </c>
      <c r="G7" t="s">
        <v>95</v>
      </c>
      <c r="H7"/>
      <c r="I7" t="s">
        <v>58</v>
      </c>
      <c r="J7">
        <v>31.536000000000001</v>
      </c>
      <c r="K7">
        <v>0</v>
      </c>
      <c r="L7">
        <v>2</v>
      </c>
      <c r="M7"/>
      <c r="O7" t="s">
        <v>95</v>
      </c>
      <c r="P7" t="s">
        <v>58</v>
      </c>
      <c r="Q7" t="s">
        <v>41</v>
      </c>
      <c r="R7" s="1">
        <v>2020</v>
      </c>
      <c r="S7"/>
      <c r="T7">
        <v>8.5</v>
      </c>
      <c r="U7"/>
      <c r="X7" t="s">
        <v>95</v>
      </c>
      <c r="Y7" s="1">
        <v>2020</v>
      </c>
      <c r="Z7"/>
      <c r="AA7">
        <v>2.6</v>
      </c>
      <c r="AB7"/>
    </row>
    <row r="8" spans="1:54" x14ac:dyDescent="0.25">
      <c r="A8" t="s">
        <v>41</v>
      </c>
      <c r="B8" t="s">
        <v>97</v>
      </c>
      <c r="C8"/>
      <c r="D8" t="s">
        <v>29</v>
      </c>
      <c r="E8" t="s">
        <v>71</v>
      </c>
      <c r="G8" t="s">
        <v>97</v>
      </c>
      <c r="H8"/>
      <c r="I8" t="s">
        <v>58</v>
      </c>
      <c r="J8">
        <v>31.536000000000001</v>
      </c>
      <c r="K8">
        <v>0</v>
      </c>
      <c r="L8">
        <v>2</v>
      </c>
      <c r="M8"/>
      <c r="O8" t="s">
        <v>97</v>
      </c>
      <c r="P8" t="s">
        <v>58</v>
      </c>
      <c r="Q8" t="s">
        <v>41</v>
      </c>
      <c r="R8" s="1">
        <v>2020</v>
      </c>
      <c r="S8" s="6">
        <v>19.333333</v>
      </c>
      <c r="T8"/>
      <c r="U8"/>
      <c r="X8" t="s">
        <v>97</v>
      </c>
      <c r="Y8" s="1">
        <v>2020</v>
      </c>
      <c r="Z8">
        <v>0.8</v>
      </c>
      <c r="AA8"/>
      <c r="AB8"/>
    </row>
    <row r="9" spans="1:54" x14ac:dyDescent="0.25">
      <c r="A9"/>
      <c r="B9"/>
      <c r="C9"/>
      <c r="D9"/>
      <c r="E9"/>
      <c r="G9" s="3"/>
      <c r="H9"/>
      <c r="I9"/>
      <c r="J9"/>
      <c r="K9"/>
      <c r="L9"/>
      <c r="M9" s="4"/>
      <c r="X9" t="s">
        <v>94</v>
      </c>
      <c r="Y9" s="1">
        <v>2100</v>
      </c>
      <c r="Z9"/>
      <c r="AA9">
        <v>2.6</v>
      </c>
      <c r="AB9"/>
    </row>
    <row r="10" spans="1:54" x14ac:dyDescent="0.25">
      <c r="B10"/>
      <c r="C10"/>
      <c r="D10"/>
      <c r="E10"/>
      <c r="F10"/>
      <c r="G10"/>
      <c r="H10"/>
      <c r="I10"/>
      <c r="J10"/>
      <c r="K10"/>
      <c r="L10"/>
      <c r="M10"/>
      <c r="X10" t="s">
        <v>96</v>
      </c>
      <c r="Y10" s="1">
        <v>2100</v>
      </c>
      <c r="Z10">
        <v>0.8</v>
      </c>
      <c r="AA10"/>
      <c r="AB10"/>
    </row>
    <row r="11" spans="1:54" x14ac:dyDescent="0.25">
      <c r="B11"/>
      <c r="C11"/>
      <c r="D11"/>
      <c r="E11"/>
      <c r="F11"/>
      <c r="G11"/>
      <c r="H11"/>
      <c r="I11"/>
      <c r="J11"/>
      <c r="K11"/>
      <c r="L11"/>
      <c r="M11"/>
      <c r="X11" t="s">
        <v>95</v>
      </c>
      <c r="Y11" s="1">
        <v>2100</v>
      </c>
      <c r="Z11"/>
      <c r="AA11">
        <v>2.6</v>
      </c>
      <c r="AB11"/>
    </row>
    <row r="12" spans="1:54" x14ac:dyDescent="0.25"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 t="s">
        <v>97</v>
      </c>
      <c r="Y12" s="1">
        <v>2100</v>
      </c>
      <c r="Z12">
        <v>0.8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</row>
    <row r="13" spans="1:54" x14ac:dyDescent="0.2"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</row>
    <row r="14" spans="1:54" x14ac:dyDescent="0.2"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</row>
    <row r="15" spans="1:54" x14ac:dyDescent="0.25"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4" x14ac:dyDescent="0.25"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2" x14ac:dyDescent="0.25"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2" x14ac:dyDescent="0.25"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2" x14ac:dyDescent="0.25"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2" x14ac:dyDescent="0.25"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52" x14ac:dyDescent="0.25"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52" x14ac:dyDescent="0.25"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52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</row>
    <row r="24" spans="1:52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</row>
    <row r="25" spans="1:52" x14ac:dyDescent="0.25"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2" x14ac:dyDescent="0.2"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</row>
    <row r="27" spans="1:52" x14ac:dyDescent="0.2"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x14ac:dyDescent="0.25"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2" x14ac:dyDescent="0.25"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2" x14ac:dyDescent="0.25"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2" x14ac:dyDescent="0.25"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 s="6"/>
      <c r="AI31"/>
      <c r="AK31"/>
      <c r="AL31"/>
      <c r="AM31"/>
      <c r="AN31"/>
      <c r="AO31"/>
      <c r="AP31"/>
      <c r="AQ31"/>
      <c r="AR31"/>
      <c r="AS31" s="6"/>
      <c r="AT31"/>
      <c r="AU31"/>
      <c r="AV31"/>
      <c r="AW31"/>
      <c r="AX31"/>
      <c r="AY31"/>
    </row>
    <row r="32" spans="1:52" x14ac:dyDescent="0.25">
      <c r="A32"/>
      <c r="B32"/>
      <c r="C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</row>
    <row r="33" spans="1:35" x14ac:dyDescent="0.25">
      <c r="A33"/>
      <c r="B33"/>
      <c r="C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</row>
    <row r="34" spans="1:35" x14ac:dyDescent="0.25">
      <c r="A34"/>
      <c r="B34"/>
      <c r="C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x14ac:dyDescent="0.25">
      <c r="A35"/>
      <c r="B35"/>
      <c r="C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</row>
    <row r="36" spans="1:35" x14ac:dyDescent="0.25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</row>
    <row r="37" spans="1:35" x14ac:dyDescent="0.25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</row>
    <row r="39" spans="1:35" x14ac:dyDescent="0.2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</row>
    <row r="40" spans="1:35" x14ac:dyDescent="0.2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</row>
    <row r="41" spans="1:35" x14ac:dyDescent="0.2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</row>
    <row r="42" spans="1:35" x14ac:dyDescent="0.2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</row>
    <row r="43" spans="1:35" x14ac:dyDescent="0.2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</row>
    <row r="44" spans="1:35" x14ac:dyDescent="0.25">
      <c r="B44"/>
      <c r="C44"/>
      <c r="D44"/>
      <c r="E44"/>
      <c r="F44"/>
      <c r="G44"/>
      <c r="H44"/>
      <c r="I44"/>
      <c r="J44"/>
      <c r="K44"/>
      <c r="L44"/>
      <c r="M44"/>
      <c r="R44"/>
    </row>
    <row r="45" spans="1:35" x14ac:dyDescent="0.25">
      <c r="B45"/>
      <c r="C45"/>
      <c r="D45"/>
      <c r="E45"/>
      <c r="F45"/>
      <c r="G45"/>
      <c r="H45"/>
      <c r="I45"/>
      <c r="J45"/>
      <c r="K45"/>
      <c r="L45"/>
      <c r="M45"/>
      <c r="R45"/>
    </row>
    <row r="46" spans="1:35" x14ac:dyDescent="0.25">
      <c r="B46"/>
      <c r="C46"/>
      <c r="D46"/>
      <c r="E46"/>
      <c r="F46"/>
      <c r="G46"/>
      <c r="H46"/>
      <c r="I46"/>
      <c r="J46"/>
      <c r="K46"/>
      <c r="L46"/>
      <c r="M46"/>
      <c r="R46"/>
    </row>
    <row r="47" spans="1:35" x14ac:dyDescent="0.25">
      <c r="B47"/>
      <c r="C47"/>
      <c r="D47"/>
      <c r="E47"/>
      <c r="F47"/>
      <c r="G47"/>
      <c r="H47"/>
      <c r="I47"/>
      <c r="J47"/>
      <c r="K47"/>
      <c r="L47"/>
      <c r="M47"/>
      <c r="R47"/>
    </row>
    <row r="48" spans="1:35" x14ac:dyDescent="0.25">
      <c r="F48"/>
      <c r="G48"/>
      <c r="H48"/>
      <c r="I48"/>
      <c r="J48"/>
      <c r="K48"/>
      <c r="L48"/>
      <c r="M48"/>
    </row>
    <row r="49" spans="6:13" x14ac:dyDescent="0.25">
      <c r="F49"/>
      <c r="G49"/>
      <c r="H49"/>
      <c r="I49"/>
      <c r="J49"/>
      <c r="K49"/>
      <c r="L49"/>
      <c r="M49"/>
    </row>
    <row r="50" spans="6:13" x14ac:dyDescent="0.25">
      <c r="F50"/>
      <c r="G50"/>
      <c r="H50"/>
      <c r="I50"/>
      <c r="J50"/>
      <c r="K50"/>
      <c r="L50"/>
      <c r="M5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Processes_and_Commodities</vt:lpstr>
      <vt:lpstr>SUP</vt:lpstr>
      <vt:lpstr>ELC_IMP_EXP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2023-07-07T18:03:21Z</dcterms:created>
  <dcterms:modified xsi:type="dcterms:W3CDTF">2026-01-07T13:53:54Z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834158599376678</vt:r8>
  </property>
</Properties>
</file>